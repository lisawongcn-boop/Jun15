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Headcount - Traditional" sheetId="3" state="visible" r:id="rId5"/>
    <sheet name="Headcount - AI-native" sheetId="4" state="visible" r:id="rId6"/>
    <sheet name="Salary benchmarks" sheetId="5" state="visible" r:id="rId7"/>
    <sheet name="Revenue" sheetId="6" state="visible" r:id="rId8"/>
    <sheet name="Comparison" sheetId="7" state="visible" r:id="rId9"/>
    <sheet name="Per-case cost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Head of Credit, bridging/dev lender London £100–130k (jobsite; Morgan McKinley). EST.</t>
        </r>
      </text>
    </comment>
    <comment ref="E7" authorId="0">
      <text>
        <r>
          <rPr>
            <sz val="10"/>
            <rFont val="Arial"/>
            <family val="2"/>
          </rPr>
          <t xml:space="preserve">Founder: analysts normally under £55k; seniors above. Market ads: senior bridging UW £65–80k (exec-appointments; Fintelligent). £65k used.</t>
        </r>
      </text>
    </comment>
    <comment ref="E8" authorId="0">
      <text>
        <r>
          <rPr>
            <sz val="10"/>
            <rFont val="Arial"/>
            <family val="2"/>
          </rPr>
          <t xml:space="preserve">Founder: credit analysts normally under £55k. Market ads: £45–65k + 10–20% (Tandem; Fintelligent). £50k used.</t>
        </r>
      </text>
    </comment>
    <comment ref="E9" authorId="0">
      <text>
        <r>
          <rPr>
            <sz val="10"/>
            <rFont val="Arial"/>
            <family val="2"/>
          </rPr>
          <t xml:space="preserve">Junior bridging UW £30–45k (Fame Recruitment ad; talent.com); founder: under £55k for analysts. £35k used.</t>
        </r>
      </text>
    </comment>
    <comment ref="E10" authorId="0">
      <text>
        <r>
          <rPr>
            <sz val="10"/>
            <rFont val="Arial"/>
            <family val="2"/>
          </rPr>
          <t xml:space="preserve">Portfolio Manager bridging up to £60–65k + bonus (Reed; Fintelligent).</t>
        </r>
      </text>
    </comment>
    <comment ref="E11" authorId="0">
      <text>
        <r>
          <rPr>
            <sz val="10"/>
            <rFont val="Arial"/>
            <family val="2"/>
          </rPr>
          <t xml:space="preserve">Completions specialist up to £40k (+London uplift); case manager £30–35k (NRG).</t>
        </r>
      </text>
    </comment>
    <comment ref="E12" authorId="0">
      <text>
        <r>
          <rPr>
            <sz val="10"/>
            <rFont val="Arial"/>
            <family val="2"/>
          </rPr>
          <t xml:space="preserve">Loan admin £26–38k London (Indeed; PayScale).</t>
        </r>
      </text>
    </comment>
    <comment ref="E13" authorId="0">
      <text>
        <r>
          <rPr>
            <sz val="10"/>
            <rFont val="Arial"/>
            <family val="2"/>
          </rPr>
          <t xml:space="preserve">Head of Sales London avg £104k, 30–40% variable (Glassdoor; sales-director norm). EST.</t>
        </r>
      </text>
    </comment>
    <comment ref="E14" authorId="0">
      <text>
        <r>
          <rPr>
            <sz val="10"/>
            <rFont val="Arial"/>
            <family val="2"/>
          </rPr>
          <t xml:space="preserve">Originator £75–85k + bonus up to 100% (Fintelligent); £90k + uncapped (jobsite).</t>
        </r>
      </text>
    </comment>
    <comment ref="E15" authorId="0">
      <text>
        <r>
          <rPr>
            <sz val="10"/>
            <rFont val="Arial"/>
            <family val="2"/>
          </rPr>
          <t xml:space="preserve">BDM bridging up to £65k + 20% bonus; £60–80k + OTE 1.3–1.8x (Fintelligent; Totaljobs).</t>
        </r>
      </text>
    </comment>
    <comment ref="E16" authorId="0">
      <text>
        <r>
          <rPr>
            <sz val="10"/>
            <rFont val="Arial"/>
            <family val="2"/>
          </rPr>
          <t xml:space="preserve">Marketing manager London avg £48k (Glassdoor).</t>
        </r>
      </text>
    </comment>
    <comment ref="E17" authorId="0">
      <text>
        <r>
          <rPr>
            <sz val="10"/>
            <rFont val="Arial"/>
            <family val="2"/>
          </rPr>
          <t xml:space="preserve">Marketing executive London avg £36k (Glassdoor).</t>
        </r>
      </text>
    </comment>
    <comment ref="E18" authorId="0">
      <text>
        <r>
          <rPr>
            <sz val="10"/>
            <rFont val="Arial"/>
            <family val="2"/>
          </rPr>
          <t xml:space="preserve">CEO &lt;£50m revenue £150–250k, 30–50% bonus (Exec Capital). EST.</t>
        </r>
      </text>
    </comment>
    <comment ref="E19" authorId="0">
      <text>
        <r>
          <rPr>
            <sz val="10"/>
            <rFont val="Arial"/>
            <family val="2"/>
          </rPr>
          <t xml:space="preserve">SME CFO £110–170k with FS premium (FD Capital). EST.</t>
        </r>
      </text>
    </comment>
    <comment ref="E20" authorId="0">
      <text>
        <r>
          <rPr>
            <sz val="10"/>
            <rFont val="Arial"/>
            <family val="2"/>
          </rPr>
          <t xml:space="preserve">Ops Director £80–120k + 15–30% (Exec Capital). EST.</t>
        </r>
      </text>
    </comment>
    <comment ref="E21" authorId="0">
      <text>
        <r>
          <rPr>
            <sz val="10"/>
            <rFont val="Arial"/>
            <family val="2"/>
          </rPr>
          <t xml:space="preserve">Head of Technology London avg £114k (Glassdoor). EST.</t>
        </r>
      </text>
    </comment>
    <comment ref="E22" authorId="0">
      <text>
        <r>
          <rPr>
            <sz val="10"/>
            <rFont val="Arial"/>
            <family val="2"/>
          </rPr>
          <t xml:space="preserve">Compliance Officer London £60–75k (Morgan McKinley 2026).</t>
        </r>
      </text>
    </comment>
    <comment ref="E23" authorId="0">
      <text>
        <r>
          <rPr>
            <sz val="10"/>
            <rFont val="Arial"/>
            <family val="2"/>
          </rPr>
          <t xml:space="preserve">Software engineer London mid £50–80k (Glassdoor).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Founder salary — below market by design at seed stage.</t>
        </r>
      </text>
    </comment>
    <comment ref="E7" authorId="0">
      <text>
        <r>
          <rPr>
            <sz val="10"/>
            <rFont val="Arial"/>
            <family val="2"/>
          </rPr>
          <t xml:space="preserve">Founder salary — below market by design at seed stage.</t>
        </r>
      </text>
    </comment>
    <comment ref="E8" authorId="0">
      <text>
        <r>
          <rPr>
            <sz val="10"/>
            <rFont val="Arial"/>
            <family val="2"/>
          </rPr>
          <t xml:space="preserve">Same band as traditional senior UW. Reviews AI-drafted packs, owns the decision.</t>
        </r>
      </text>
    </comment>
    <comment ref="E9" authorId="0">
      <text>
        <r>
          <rPr>
            <sz val="10"/>
            <rFont val="Arial"/>
            <family val="2"/>
          </rPr>
          <t xml:space="preserve">One person runs completions and servicing with automated workflow.</t>
        </r>
      </text>
    </comment>
    <comment ref="E10" authorId="0">
      <text>
        <r>
          <rPr>
            <sz val="10"/>
            <rFont val="Arial"/>
            <family val="2"/>
          </rPr>
          <t xml:space="preserve">Regulated lender needs one regardless of size.</t>
        </r>
      </text>
    </comment>
    <comment ref="E11" authorId="0">
      <text>
        <r>
          <rPr>
            <sz val="10"/>
            <rFont val="Arial"/>
            <family val="2"/>
          </rPr>
          <t xml:space="preserve">One BDM; brokers still introduce ~85% of flow.</t>
        </r>
      </text>
    </comment>
    <comment ref="E12" authorId="0">
      <text>
        <r>
          <rPr>
            <sz val="10"/>
            <rFont val="Arial"/>
            <family val="2"/>
          </rPr>
          <t xml:space="preserve">Maintains pipelines, evals, integrations.</t>
        </r>
      </text>
    </comment>
  </commentList>
</comments>
</file>

<file path=xl/sharedStrings.xml><?xml version="1.0" encoding="utf-8"?>
<sst xmlns="http://schemas.openxmlformats.org/spreadsheetml/2006/main" count="491" uniqueCount="397">
  <si>
    <t xml:space="preserve">Verdigris — Economics Model: traditional bridging lender vs AI-native lender</t>
  </si>
  <si>
    <t xml:space="preserve">Purpose: compare the cost structure of a typical mid-size UK bridging lender ('Northgate Bridging', a fictional composite) with an AI-native lender ('Verdigris') running the SAME loan book, then show how each scales.</t>
  </si>
  <si>
    <t xml:space="preserve">How to use</t>
  </si>
  <si>
    <t xml:space="preserve">• Blue text = input you can change. Yellow fill = the key assumptions that drive the answer. Black = formula. Green = link from another sheet.</t>
  </si>
  <si>
    <t xml:space="preserve">• Change inputs only on the 'Assumptions' sheet and the two Headcount sheets. Everything else recalculates.</t>
  </si>
  <si>
    <t xml:space="preserve">• Every input has a cell comment saying where it came from (public source, founder estimate, or research benchmark). Hover to read it.</t>
  </si>
  <si>
    <t xml:space="preserve">Sheets</t>
  </si>
  <si>
    <t xml:space="preserve">1. Assumptions — loan book, pricing, fees, funding cost, losses, on-costs, AI cost per case.</t>
  </si>
  <si>
    <t xml:space="preserve">2. Headcount — Traditional — 37-person team by function, salary, bonus, fully loaded cost.</t>
  </si>
  <si>
    <t xml:space="preserve">3. Headcount — AI-native — 8-person team doing the same book with AI agents.</t>
  </si>
  <si>
    <t xml:space="preserve">4. Salary benchmarks — industry ranges (low / mid / high) next to the figures used.</t>
  </si>
  <si>
    <t xml:space="preserve">5. Revenue — revenue build for the loan book (identical for both models).</t>
  </si>
  <si>
    <t xml:space="preserve">6. Comparison — P&amp;L side by side, cost per loan, margin, and the scaling table (£150m → £600m book).</t>
  </si>
  <si>
    <t xml:space="preserve">7. Per-case cost — what it costs to underwrite ONE case, human vs AI-assisted.</t>
  </si>
  <si>
    <t xml:space="preserve">8. Sources — where every number came from, with URLs.</t>
  </si>
  <si>
    <t xml:space="preserve">Status of the numbers</t>
  </si>
  <si>
    <t xml:space="preserve">• Salary bands: 2025–26 London job ads and salary guides (see Sources). C-suite bands are estimates.</t>
  </si>
  <si>
    <t xml:space="preserve">• Loan sizes: founder — bridging/refurb £500–800k via institutional partner (≤£1m); ground-up development £1–1.5m via bank partner, a growing share. Book £150m is a founder estimate.</t>
  </si>
  <si>
    <t xml:space="preserve">• Analyst pay: founder — credit analysts normally under £55k; other roles from London 2025–26 benchmarks (Salary benchmarks sheet).</t>
  </si>
  <si>
    <t xml:space="preserve">• Pricing: market rates (0.81–0.84%/month average, Bridging Trends 2025–26). Arrangement fee and broker fee are market-typical assumptions.</t>
  </si>
  <si>
    <t xml:space="preserve">• AI cost per case: computed from Anthropic list prices (June 2026) and typical document volumes; a 10x safety factor is applied.</t>
  </si>
  <si>
    <t xml:space="preserve">• Nothing in this model is a claim about any specific company. 'Northgate Bridging' is a composite.</t>
  </si>
  <si>
    <t xml:space="preserve">Built 9 September 2026.</t>
  </si>
  <si>
    <t xml:space="preserve">Assumptions — all inputs in blue; yellow = key drivers</t>
  </si>
  <si>
    <t xml:space="preserve">Item</t>
  </si>
  <si>
    <t xml:space="preserve">Value</t>
  </si>
  <si>
    <t xml:space="preserve">Unit</t>
  </si>
  <si>
    <t xml:space="preserve">Basis / source</t>
  </si>
  <si>
    <t xml:space="preserve">LOAN BOOK</t>
  </si>
  <si>
    <t xml:space="preserve">Live loan book (average)</t>
  </si>
  <si>
    <t xml:space="preserve">£</t>
  </si>
  <si>
    <t xml:space="preserve">Founder estimate for a ~35-person lender; consistent with £3–10m book per employee benchmark (Octane, Hope, Tuscan) and est. £120–320m for the comparator.</t>
  </si>
  <si>
    <t xml:space="preserve">Bridging / refurbishment: average loan size</t>
  </si>
  <si>
    <t xml:space="preserve">Founder: funded by the institutional partner, normally up to £1m; typical property £500–800k. Pipeline tracker Jan 2026: facilities £205k–£1.59m, median ≈ £440k.</t>
  </si>
  <si>
    <t xml:space="preserve">Ground-up development: average loan size</t>
  </si>
  <si>
    <t xml:space="preserve">Founder: funded by the bank partner, typically £1m–£1.5m; a growing share of the book.</t>
  </si>
  <si>
    <t xml:space="preserve">Share of originations that are ground-up development</t>
  </si>
  <si>
    <t xml:space="preserve">% by count</t>
  </si>
  <si>
    <t xml:space="preserve">Founder: 'getting more of those'; 30% assumed. Change to reflect the current mix.</t>
  </si>
  <si>
    <t xml:space="preserve">Blended average loan size</t>
  </si>
  <si>
    <t xml:space="preserve">Weighted by product mix.</t>
  </si>
  <si>
    <t xml:space="preserve">Average term</t>
  </si>
  <si>
    <t xml:space="preserve">months</t>
  </si>
  <si>
    <t xml:space="preserve">Bridging Trends 2025 average term 12 months; founder calculator example 18 months (refurb).</t>
  </si>
  <si>
    <t xml:space="preserve">Loans completed per year</t>
  </si>
  <si>
    <t xml:space="preserve">loans</t>
  </si>
  <si>
    <t xml:space="preserve">Book ÷ blended loan × 12 ÷ term. With 10 in credit ≈ 19 per underwriter, versus founder's ~25/yr as an analyst.</t>
  </si>
  <si>
    <t xml:space="preserve">Annual originations (£)</t>
  </si>
  <si>
    <t xml:space="preserve">Loans × blended average loan size.</t>
  </si>
  <si>
    <t xml:space="preserve">Applications assessed per completed loan</t>
  </si>
  <si>
    <t xml:space="preserve">x</t>
  </si>
  <si>
    <t xml:space="preserve">Founder estimate: pipeline of 15–25 live cases vs ~2 completions/month per analyst → roughly 1 in 4 assessed cases completes.</t>
  </si>
  <si>
    <t xml:space="preserve">Cases assessed per year</t>
  </si>
  <si>
    <t xml:space="preserve">cases</t>
  </si>
  <si>
    <t xml:space="preserve">Every assessed case costs underwriting effort whether or not it completes.</t>
  </si>
  <si>
    <t xml:space="preserve">PRICING &amp; REVENUE</t>
  </si>
  <si>
    <t xml:space="preserve">Borrower interest rate (monthly)</t>
  </si>
  <si>
    <t xml:space="preserve">% / month</t>
  </si>
  <si>
    <t xml:space="preserve">Founder calculator: 0.95%/month fixed on a medium refurb (variable option BoE 4.25% + 0.51%/mo = 10.37% pa). Market average 0.81–0.84% (Bridging Trends). 0.90% blended used.</t>
  </si>
  <si>
    <t xml:space="preserve">Borrower interest rate (annualised, simple)</t>
  </si>
  <si>
    <t xml:space="preserve">% pa</t>
  </si>
  <si>
    <t xml:space="preserve">Simple ×12. Founder calculator effective rate 11.98% pa on 0.95%/mo.</t>
  </si>
  <si>
    <t xml:space="preserve">Arrangement fee charged to borrower</t>
  </si>
  <si>
    <t xml:space="preserve">% of loan</t>
  </si>
  <si>
    <t xml:space="preserve">Founder calculator: 2% of gross loan ('Lender &amp; Broker Fee').</t>
  </si>
  <si>
    <t xml:space="preserve">Arrangement fee retained by lender (after introducer share)</t>
  </si>
  <si>
    <t xml:space="preserve">Founder calculator: on the example deal 0% retained, 2% paid as 'introducer share'. Founder: broker payout 1–2%. 0.5% retained assumed — change if your typical split differs.</t>
  </si>
  <si>
    <t xml:space="preserve">Admin fee per loan (retained)</t>
  </si>
  <si>
    <t xml:space="preserve">Founder calculator: £1,995 (&lt;£100k), £1,500 (£100–250k), £1,250 (&gt;£250k) automatic admin fee. £1,500 blended.</t>
  </si>
  <si>
    <t xml:space="preserve">Redemption + drawdown fees per loan</t>
  </si>
  <si>
    <t xml:space="preserve">Founder calculator: redemption fee £495; drawdown fee £295/month on refurb/development. ~£1,500 per loan blended.</t>
  </si>
  <si>
    <t xml:space="preserve">Exit fee</t>
  </si>
  <si>
    <t xml:space="preserve">Founder calculator: 0%. Some lenders charge 0–1%.</t>
  </si>
  <si>
    <t xml:space="preserve">Other fees (extension, variation, non-redemption)</t>
  </si>
  <si>
    <t xml:space="preserve">% of originations</t>
  </si>
  <si>
    <t xml:space="preserve">Founder estimate; extension/variation fees exist but are not systematic.</t>
  </si>
  <si>
    <t xml:space="preserve">Share of loans introduced by brokers</t>
  </si>
  <si>
    <t xml:space="preserve">%</t>
  </si>
  <si>
    <t xml:space="preserve">BDLA/Interpath 2026 survey: 61% of lenders name brokers as primary channel, 15% direct → ~85% broker-introduced. Broker fee is already netted in 'retained' above.</t>
  </si>
  <si>
    <t xml:space="preserve">FUNDING &amp; RISK</t>
  </si>
  <si>
    <t xml:space="preserve">Funding partner buy rate (cost of funds, annual)</t>
  </si>
  <si>
    <t xml:space="preserve">Founder calculator rate card: institutional partner 8.25–9.75% depending on product and advance rate (8.75% on the example); bank line = BoE + 4.3–4.8%. 8.75% used.</t>
  </si>
  <si>
    <t xml:space="preserve">Share of book funded by partners</t>
  </si>
  <si>
    <t xml:space="preserve">Founder calculator: partner advance rate 95%, lender first-loss 5%.</t>
  </si>
  <si>
    <t xml:space="preserve">Funder fee per loan</t>
  </si>
  <si>
    <t xml:space="preserve">Founder calculator: £500 partner fee per deal.</t>
  </si>
  <si>
    <t xml:space="preserve">Expected credit loss (annual, % of book)</t>
  </si>
  <si>
    <t xml:space="preserve">Founder estimate; comparator claims 0 capital losses over 7 years; BDLA default rates typically &lt;1%. 0.5% is prudent.</t>
  </si>
  <si>
    <t xml:space="preserve">EMPLOYMENT ON-COSTS (2026/27)</t>
  </si>
  <si>
    <t xml:space="preserve">Employer National Insurance rate</t>
  </si>
  <si>
    <t xml:space="preserve">15% above secondary threshold (unchanged from April 2025).</t>
  </si>
  <si>
    <t xml:space="preserve">NI secondary threshold</t>
  </si>
  <si>
    <t xml:space="preserve">£ pa</t>
  </si>
  <si>
    <t xml:space="preserve">£5,000 per employee per year, frozen to 2030–31.</t>
  </si>
  <si>
    <t xml:space="preserve">Employer pension contribution</t>
  </si>
  <si>
    <t xml:space="preserve">% of salary</t>
  </si>
  <si>
    <t xml:space="preserve">Auto-enrolment minimum 3%; 5% typical for a financial-services employer.</t>
  </si>
  <si>
    <t xml:space="preserve">Other on-costs (benefits, kit, recruitment, software seats)</t>
  </si>
  <si>
    <t xml:space="preserve">All-in multiplier 1.25–1.4x is typical (Grove HR); NI 15% + pension 5% + 8% other ≈ 1.28x.</t>
  </si>
  <si>
    <t xml:space="preserve">Office cost per desk per year</t>
  </si>
  <si>
    <t xml:space="preserve">London serviced office £700–900/desk/month City; £800 used.</t>
  </si>
  <si>
    <t xml:space="preserve">Software &amp; data per employee per year</t>
  </si>
  <si>
    <t xml:space="preserve">CRM/LOS seat £1–3k plus general tooling.</t>
  </si>
  <si>
    <t xml:space="preserve">AI-NATIVE OPERATING COSTS</t>
  </si>
  <si>
    <t xml:space="preserve">Model (LLM) cost per assessed case</t>
  </si>
  <si>
    <t xml:space="preserve">Anthropic list prices Jun 2026: Opus 5 $5/$25 per M tokens; ~300k input + 20k output tokens per case ≈ $2. ×10 safety factor for retries, tools, re-underwrites, evals = $20 ≈ £16 at $1.30/£.</t>
  </si>
  <si>
    <t xml:space="preserve">Data &amp; verification per assessed case</t>
  </si>
  <si>
    <t xml:space="preserve">Land Registry £7/doc (£14–28), KYC £2–6, company credit £5–15, AVM £10–25, consumer credit £1–5 → £40–80.</t>
  </si>
  <si>
    <t xml:space="preserve">Platform, hosting, monitoring per year</t>
  </si>
  <si>
    <t xml:space="preserve">Founder estimate: cloud, observability, model evals, security tooling for a regulated lender.</t>
  </si>
  <si>
    <t xml:space="preserve">Human review time per assessed case (AI-native)</t>
  </si>
  <si>
    <t xml:space="preserve">hours</t>
  </si>
  <si>
    <t xml:space="preserve">Underwriter reviews the AI-drafted pack and decides. Founder estimate.</t>
  </si>
  <si>
    <t xml:space="preserve">Underwriter time per assessed case (traditional)</t>
  </si>
  <si>
    <t xml:space="preserve">Founder estimate: 15–25 live cases, ~2 completions/month, ~50% of week on document work. Includes reading, reconciling, chasing, credit paper.</t>
  </si>
  <si>
    <t xml:space="preserve">Working hours per FTE per year</t>
  </si>
  <si>
    <t xml:space="preserve">37.5 h/week × 44 productive weeks.</t>
  </si>
  <si>
    <t xml:space="preserve">UNDERWRITING CAPACITY</t>
  </si>
  <si>
    <t xml:space="preserve">Live cases one underwriter carries today (low)</t>
  </si>
  <si>
    <t xml:space="preserve">Founder: each analyst looks after 15–25 live deals at once. Completion time is set by valuers, monitoring surveyors and solicitors, so capacity, not speed, is the constraint.</t>
  </si>
  <si>
    <t xml:space="preserve">Live cases one underwriter carries today (high)</t>
  </si>
  <si>
    <t xml:space="preserve">Founder: 15–25 live deals per analyst.</t>
  </si>
  <si>
    <t xml:space="preserve">Northgate Bridging (composite) — 37-person traditional lender</t>
  </si>
  <si>
    <t xml:space="preserve">Team shape from founder's knowledge of a typical mid-size lender: 10 credit, 8 portfolio, 6 sales, 4 marketing, 5 management, 4 tech. Salaries = London 2025–26 benchmarks (see Sources).</t>
  </si>
  <si>
    <t xml:space="preserve">Function</t>
  </si>
  <si>
    <t xml:space="preserve">Role</t>
  </si>
  <si>
    <t xml:space="preserve">FTE</t>
  </si>
  <si>
    <t xml:space="preserve">Base salary (each)</t>
  </si>
  <si>
    <t xml:space="preserve">Bonus %</t>
  </si>
  <si>
    <t xml:space="preserve">Base total</t>
  </si>
  <si>
    <t xml:space="preserve">Bonus total</t>
  </si>
  <si>
    <t xml:space="preserve">Employer NI</t>
  </si>
  <si>
    <t xml:space="preserve">Pension + other</t>
  </si>
  <si>
    <t xml:space="preserve">Fully loaded cost</t>
  </si>
  <si>
    <t xml:space="preserve">Basis</t>
  </si>
  <si>
    <t xml:space="preserve">Credit</t>
  </si>
  <si>
    <t xml:space="preserve">Head of Credit</t>
  </si>
  <si>
    <t xml:space="preserve">Head of Credit, bridging/dev lender London £100–130k (jobsite; Morgan McKinley). EST.</t>
  </si>
  <si>
    <t xml:space="preserve">Senior underwriter (bridging + development)</t>
  </si>
  <si>
    <t xml:space="preserve">Founder: analysts normally under £55k; seniors above. Market ads: senior bridging UW £65–80k (exec-appointments; Fintelligent). £65k used.</t>
  </si>
  <si>
    <t xml:space="preserve">Credit analyst / underwriter (mid)</t>
  </si>
  <si>
    <t xml:space="preserve">Founder: credit analysts normally under £55k. Market ads: £45–65k + 10–20% (Tandem; Fintelligent). £50k used.</t>
  </si>
  <si>
    <t xml:space="preserve">Junior credit analyst</t>
  </si>
  <si>
    <t xml:space="preserve">Junior bridging UW £30–45k (Fame Recruitment ad; talent.com); founder: under £55k for analysts. £35k used.</t>
  </si>
  <si>
    <t xml:space="preserve">Portfolio</t>
  </si>
  <si>
    <t xml:space="preserve">Portfolio manager</t>
  </si>
  <si>
    <t xml:space="preserve">Portfolio Manager bridging up to £60–65k + bonus (Reed; Fintelligent).</t>
  </si>
  <si>
    <t xml:space="preserve">Completions / case manager</t>
  </si>
  <si>
    <t xml:space="preserve">Completions specialist up to £40k (+London uplift); case manager £30–35k (NRG).</t>
  </si>
  <si>
    <t xml:space="preserve">Loan administrator / servicing</t>
  </si>
  <si>
    <t xml:space="preserve">Loan admin £26–38k London (Indeed; PayScale).</t>
  </si>
  <si>
    <t xml:space="preserve">Sales</t>
  </si>
  <si>
    <t xml:space="preserve">Head of Sales</t>
  </si>
  <si>
    <t xml:space="preserve">Head of Sales London avg £104k, 30–40% variable (Glassdoor; sales-director norm). EST.</t>
  </si>
  <si>
    <t xml:space="preserve">Senior BDM / originator</t>
  </si>
  <si>
    <t xml:space="preserve">Originator £75–85k + bonus up to 100% (Fintelligent); £90k + uncapped (jobsite).</t>
  </si>
  <si>
    <t xml:space="preserve">BDM</t>
  </si>
  <si>
    <t xml:space="preserve">BDM bridging up to £65k + 20% bonus; £60–80k + OTE 1.3–1.8x (Fintelligent; Totaljobs).</t>
  </si>
  <si>
    <t xml:space="preserve">Marketing</t>
  </si>
  <si>
    <t xml:space="preserve">Marketing manager</t>
  </si>
  <si>
    <t xml:space="preserve">Marketing manager London avg £48k (Glassdoor).</t>
  </si>
  <si>
    <t xml:space="preserve">Marketing executive</t>
  </si>
  <si>
    <t xml:space="preserve">Marketing executive London avg £36k (Glassdoor).</t>
  </si>
  <si>
    <t xml:space="preserve">Management</t>
  </si>
  <si>
    <t xml:space="preserve">CEO / Managing Director</t>
  </si>
  <si>
    <t xml:space="preserve">CEO &lt;£50m revenue £150–250k, 30–50% bonus (Exec Capital). EST.</t>
  </si>
  <si>
    <t xml:space="preserve">CFO / Finance Director</t>
  </si>
  <si>
    <t xml:space="preserve">SME CFO £110–170k with FS premium (FD Capital). EST.</t>
  </si>
  <si>
    <t xml:space="preserve">COO / Operations Director</t>
  </si>
  <si>
    <t xml:space="preserve">Ops Director £80–120k + 15–30% (Exec Capital). EST.</t>
  </si>
  <si>
    <t xml:space="preserve">CTO / Head of Technology</t>
  </si>
  <si>
    <t xml:space="preserve">Head of Technology London avg £114k (Glassdoor). EST.</t>
  </si>
  <si>
    <t xml:space="preserve">Compliance officer (SMF16/17)</t>
  </si>
  <si>
    <t xml:space="preserve">Compliance Officer London £60–75k (Morgan McKinley 2026).</t>
  </si>
  <si>
    <t xml:space="preserve">Technology</t>
  </si>
  <si>
    <t xml:space="preserve">Software engineer / IT</t>
  </si>
  <si>
    <t xml:space="preserve">Software engineer London mid £50–80k (Glassdoor).</t>
  </si>
  <si>
    <t xml:space="preserve">TOTAL PEOPLE COST</t>
  </si>
  <si>
    <t xml:space="preserve">Office (desks × cost per desk)</t>
  </si>
  <si>
    <t xml:space="preserve">Software &amp; data seats</t>
  </si>
  <si>
    <t xml:space="preserve">Data &amp; verification (cases × £ per case)</t>
  </si>
  <si>
    <t xml:space="preserve">Verdigris — 8-person AI-native lender running the same book</t>
  </si>
  <si>
    <t xml:space="preserve">AI agents do document reading, extraction, reconciliation, drafting, chasing and monitoring. Humans decide, sign off, and own relationships and compliance.</t>
  </si>
  <si>
    <t xml:space="preserve">Leadership</t>
  </si>
  <si>
    <t xml:space="preserve">CEO / Head of Credit (founder, underwrites)</t>
  </si>
  <si>
    <t xml:space="preserve">Founder salary — below market by design at seed stage.</t>
  </si>
  <si>
    <t xml:space="preserve">CTO (technical co-founder)</t>
  </si>
  <si>
    <t xml:space="preserve">Senior underwriter (human-in-the-loop)</t>
  </si>
  <si>
    <t xml:space="preserve">Same band as traditional senior UW. Reviews AI-drafted packs, owns the decision.</t>
  </si>
  <si>
    <t xml:space="preserve">Operations</t>
  </si>
  <si>
    <t xml:space="preserve">Completions &amp; servicing lead</t>
  </si>
  <si>
    <t xml:space="preserve">One person runs completions and servicing with automated workflow.</t>
  </si>
  <si>
    <t xml:space="preserve">Compliance</t>
  </si>
  <si>
    <t xml:space="preserve">Regulated lender needs one regardless of size.</t>
  </si>
  <si>
    <t xml:space="preserve">BDM / broker relationships</t>
  </si>
  <si>
    <t xml:space="preserve">One BDM; brokers still introduce ~85% of flow.</t>
  </si>
  <si>
    <t xml:space="preserve">Software / ML engineer</t>
  </si>
  <si>
    <t xml:space="preserve">Maintains pipelines, evals, integrations.</t>
  </si>
  <si>
    <t xml:space="preserve">AI model cost (cases × £ per case)</t>
  </si>
  <si>
    <t xml:space="preserve">Platform, hosting, monitoring</t>
  </si>
  <si>
    <t xml:space="preserve">Industry salary benchmarks — London, specialist lender, 2025–26</t>
  </si>
  <si>
    <t xml:space="preserve">Research ranges from job ads and salary guides (see Sources). 'Used' is the figure in the headcount sheets; founder input overrides the market midpoint where they differ.</t>
  </si>
  <si>
    <t xml:space="preserve">Level</t>
  </si>
  <si>
    <t xml:space="preserve">Low</t>
  </si>
  <si>
    <t xml:space="preserve">Mid</t>
  </si>
  <si>
    <t xml:space="preserve">High</t>
  </si>
  <si>
    <t xml:space="preserve">Used</t>
  </si>
  <si>
    <t xml:space="preserve">Bonus % (mid)</t>
  </si>
  <si>
    <t xml:space="preserve">Credit analyst / underwriter</t>
  </si>
  <si>
    <t xml:space="preserve">Junior</t>
  </si>
  <si>
    <t xml:space="preserve">Fame Recruitment ad; talent.com</t>
  </si>
  <si>
    <t xml:space="preserve">Tandem; Fintelligent job ads — founder: analysts normally under £55k</t>
  </si>
  <si>
    <t xml:space="preserve">Senior</t>
  </si>
  <si>
    <t xml:space="preserve">exec-appointments; Fintelligent</t>
  </si>
  <si>
    <t xml:space="preserve">Credit manager</t>
  </si>
  <si>
    <t xml:space="preserve">Manager</t>
  </si>
  <si>
    <t xml:space="preserve">not in team</t>
  </si>
  <si>
    <t xml:space="preserve">Fintelligent</t>
  </si>
  <si>
    <t xml:space="preserve">Head of credit</t>
  </si>
  <si>
    <t xml:space="preserve">Head</t>
  </si>
  <si>
    <t xml:space="preserve">jobsite; Morgan McKinley (estimate)</t>
  </si>
  <si>
    <t xml:space="preserve">Case manager</t>
  </si>
  <si>
    <t xml:space="preserve">Junior/mid</t>
  </si>
  <si>
    <t xml:space="preserve">NRG ad</t>
  </si>
  <si>
    <t xml:space="preserve">Completions specialist</t>
  </si>
  <si>
    <t xml:space="preserve">Stellar Select (London uplift estimated)</t>
  </si>
  <si>
    <t xml:space="preserve">Indeed; PayScale</t>
  </si>
  <si>
    <t xml:space="preserve">Mid/senior</t>
  </si>
  <si>
    <t xml:space="preserve">Reed; Fintelligent</t>
  </si>
  <si>
    <t xml:space="preserve">Fintelligent; Totaljobs (OTE 1.3–1.8x)</t>
  </si>
  <si>
    <t xml:space="preserve">Fintelligent; jobsite</t>
  </si>
  <si>
    <t xml:space="preserve">Head of sales</t>
  </si>
  <si>
    <t xml:space="preserve">Glassdoor; bridgingloandirectory (estimate)</t>
  </si>
  <si>
    <t xml:space="preserve">Glassdoor</t>
  </si>
  <si>
    <t xml:space="preserve">CEO / MD</t>
  </si>
  <si>
    <t xml:space="preserve">C-suite</t>
  </si>
  <si>
    <t xml:space="preserve">Exec Capital (estimate; owner-MDs often take less + dividends)</t>
  </si>
  <si>
    <t xml:space="preserve">CFO / FD</t>
  </si>
  <si>
    <t xml:space="preserve">FD Capital (estimate)</t>
  </si>
  <si>
    <t xml:space="preserve">CTO / Head of technology</t>
  </si>
  <si>
    <t xml:space="preserve">Glassdoor (estimate)</t>
  </si>
  <si>
    <t xml:space="preserve">COO / Operations director</t>
  </si>
  <si>
    <t xml:space="preserve">Director</t>
  </si>
  <si>
    <t xml:space="preserve">Exec Capital (estimate)</t>
  </si>
  <si>
    <t xml:space="preserve">Compliance officer</t>
  </si>
  <si>
    <t xml:space="preserve">Morgan McKinley 2026</t>
  </si>
  <si>
    <t xml:space="preserve">Employer on-costs used: NI 15% above £5,000; pension 5%; other 8% → fully loaded ≈ 1.28× base + bonus. London desk £9,600/yr.</t>
  </si>
  <si>
    <t xml:space="preserve">Revenue build — identical for both models (same book, same pricing)</t>
  </si>
  <si>
    <t xml:space="preserve">Line</t>
  </si>
  <si>
    <t xml:space="preserve">£ per year</t>
  </si>
  <si>
    <t xml:space="preserve">Formula / note</t>
  </si>
  <si>
    <t xml:space="preserve">Annual originations</t>
  </si>
  <si>
    <t xml:space="preserve">Loans × average loan size</t>
  </si>
  <si>
    <t xml:space="preserve">Average live loan book</t>
  </si>
  <si>
    <t xml:space="preserve">Arrangement fee charged (gross)</t>
  </si>
  <si>
    <t xml:space="preserve">Originations × arrangement fee %</t>
  </si>
  <si>
    <t xml:space="preserve">Less: introducer / broker share of arrangement fee</t>
  </si>
  <si>
    <t xml:space="preserve">Paid away to brokers on broker-introduced loans</t>
  </si>
  <si>
    <t xml:space="preserve">Gross interest income</t>
  </si>
  <si>
    <t xml:space="preserve">Book × annualised borrower rate</t>
  </si>
  <si>
    <t xml:space="preserve">Admin, drawdown and redemption fees</t>
  </si>
  <si>
    <t xml:space="preserve">Loans × (admin fee + redemption/drawdown fees)</t>
  </si>
  <si>
    <t xml:space="preserve">Exit fee income</t>
  </si>
  <si>
    <t xml:space="preserve">Originations × exit fee %</t>
  </si>
  <si>
    <t xml:space="preserve">Other fee income</t>
  </si>
  <si>
    <t xml:space="preserve">Extensions, variations, non-redemption</t>
  </si>
  <si>
    <t xml:space="preserve">GROSS REVENUE (after broker share)</t>
  </si>
  <si>
    <t xml:space="preserve">Less: cost of funds (funding partner buy rate)</t>
  </si>
  <si>
    <t xml:space="preserve">Book × partner-funded share × buy rate</t>
  </si>
  <si>
    <t xml:space="preserve">Less: funder fees</t>
  </si>
  <si>
    <t xml:space="preserve">Loans × partner fee per deal</t>
  </si>
  <si>
    <t xml:space="preserve">Less: expected credit losses</t>
  </si>
  <si>
    <t xml:space="preserve">Book × annual loss rate</t>
  </si>
  <si>
    <t xml:space="preserve">NET REVENUE (after funding, brokers, losses)</t>
  </si>
  <si>
    <t xml:space="preserve">This is what has to pay for people, premises and technology</t>
  </si>
  <si>
    <t xml:space="preserve">Net revenue as % of book</t>
  </si>
  <si>
    <t xml:space="preserve">Net revenue per completed loan</t>
  </si>
  <si>
    <t xml:space="preserve">Net interest margin (% of book)</t>
  </si>
  <si>
    <t xml:space="preserve">Gross interest less cost of funds. Founder calculator example: 3.4% of facility over 18 months.</t>
  </si>
  <si>
    <t xml:space="preserve">Same loan book, two operating models</t>
  </si>
  <si>
    <t xml:space="preserve">Northgate Bridging (traditional)</t>
  </si>
  <si>
    <t xml:space="preserve">Verdigris (AI-native)</t>
  </si>
  <si>
    <t xml:space="preserve">Difference</t>
  </si>
  <si>
    <t xml:space="preserve">Note</t>
  </si>
  <si>
    <t xml:space="preserve">Headcount (FTE)</t>
  </si>
  <si>
    <t xml:space="preserve">People cost (fully loaded)</t>
  </si>
  <si>
    <t xml:space="preserve">Traditional: 37 people. AI-native: 8 people, AI does reading/reconciling/drafting.</t>
  </si>
  <si>
    <t xml:space="preserve">Office</t>
  </si>
  <si>
    <t xml:space="preserve">Data &amp; verification per case</t>
  </si>
  <si>
    <t xml:space="preserve">AI model cost</t>
  </si>
  <si>
    <t xml:space="preserve">Model cost ≈ £16/case ×10 safety factor already included; see Assumptions.</t>
  </si>
  <si>
    <t xml:space="preserve">TOTAL OPERATING COST</t>
  </si>
  <si>
    <t xml:space="preserve">Net revenue (from Revenue sheet)</t>
  </si>
  <si>
    <t xml:space="preserve">OPERATING PROFIT (before tax)</t>
  </si>
  <si>
    <t xml:space="preserve">Operating margin (% of net revenue)</t>
  </si>
  <si>
    <t xml:space="preserve">Operating cost per completed loan</t>
  </si>
  <si>
    <t xml:space="preserve">Same loans, same revenue: the difference is entirely operating cost.</t>
  </si>
  <si>
    <t xml:space="preserve">Operating cost as % of originations</t>
  </si>
  <si>
    <t xml:space="preserve">Cost to originate. Traditional lenders typically 1.5–3% of volume.</t>
  </si>
  <si>
    <t xml:space="preserve">Loan book per employee</t>
  </si>
  <si>
    <t xml:space="preserve">Loans completed per employee per year</t>
  </si>
  <si>
    <t xml:space="preserve">Scaling: what happens as the book grows (same pricing, same loss rate)</t>
  </si>
  <si>
    <t xml:space="preserve">Traditional: management fixed, every other function grows in proportion to the book. AI-native: fixed core team + 1 underwriter per £75m of book + 1 BDM per £150m; AI cost grows with cases.</t>
  </si>
  <si>
    <t xml:space="preserve">Metric</t>
  </si>
  <si>
    <t xml:space="preserve">Book £150m</t>
  </si>
  <si>
    <t xml:space="preserve">Book £300m</t>
  </si>
  <si>
    <t xml:space="preserve">Book £600m</t>
  </si>
  <si>
    <t xml:space="preserve">Loan book</t>
  </si>
  <si>
    <t xml:space="preserve">Scale factor vs base = book ÷ Assumptions book</t>
  </si>
  <si>
    <t xml:space="preserve">Scale factor vs base case</t>
  </si>
  <si>
    <t xml:space="preserve">Net revenue</t>
  </si>
  <si>
    <t xml:space="preserve">TRADITIONAL</t>
  </si>
  <si>
    <t xml:space="preserve">Headcount</t>
  </si>
  <si>
    <t xml:space="preserve">Operating cost</t>
  </si>
  <si>
    <t xml:space="preserve">Operating profit</t>
  </si>
  <si>
    <t xml:space="preserve">Operating margin</t>
  </si>
  <si>
    <t xml:space="preserve">Cost per completed loan</t>
  </si>
  <si>
    <t xml:space="preserve">AI-NATIVE</t>
  </si>
  <si>
    <t xml:space="preserve">Platform cost grows at half the rate of the book.</t>
  </si>
  <si>
    <t xml:space="preserve">AI-native cost advantage (traditional ÷ AI-native)</t>
  </si>
  <si>
    <t xml:space="preserve">Extra operating profit from AI-native model</t>
  </si>
  <si>
    <t xml:space="preserve">What it costs to underwrite one case</t>
  </si>
  <si>
    <t xml:space="preserve">Traditional</t>
  </si>
  <si>
    <t xml:space="preserve">AI-native</t>
  </si>
  <si>
    <t xml:space="preserve">Fully loaded underwriter cost per hour</t>
  </si>
  <si>
    <t xml:space="preserve">Blended senior + mid underwriter, fully loaded, ÷ productive hours.</t>
  </si>
  <si>
    <t xml:space="preserve">Underwriter hours per assessed case</t>
  </si>
  <si>
    <t xml:space="preserve">Traditional: reading, reconciling, chasing, drafting. AI-native: review and decide.</t>
  </si>
  <si>
    <t xml:space="preserve">Human cost per case</t>
  </si>
  <si>
    <t xml:space="preserve">AI model cost per case</t>
  </si>
  <si>
    <t xml:space="preserve">Includes 10x safety factor.</t>
  </si>
  <si>
    <t xml:space="preserve">Same searches either way.</t>
  </si>
  <si>
    <t xml:space="preserve">TOTAL COST PER ASSESSED CASE</t>
  </si>
  <si>
    <t xml:space="preserve">Cases one underwriter can assess per year</t>
  </si>
  <si>
    <t xml:space="preserve">Productive hours ÷ hours per case.</t>
  </si>
  <si>
    <t xml:space="preserve">Elapsed time to first credit view</t>
  </si>
  <si>
    <t xml:space="preserve">Working days. Traditional: founder experience 3–7 days to a credit view. AI-native: hours. Input cells.</t>
  </si>
  <si>
    <t xml:space="preserve">Cost reduction per case</t>
  </si>
  <si>
    <t xml:space="preserve">Capacity multiple per underwriter</t>
  </si>
  <si>
    <t xml:space="preserve">Traditional hours per case ÷ AI-native review hours per case. Agents hold the file while it waits on third parties.</t>
  </si>
  <si>
    <t xml:space="preserve">Live cases one underwriter can carry (low)</t>
  </si>
  <si>
    <t xml:space="preserve">Today's caseload × capacity multiple.</t>
  </si>
  <si>
    <t xml:space="preserve">Live cases one underwriter can carry (high)</t>
  </si>
  <si>
    <t xml:space="preserve">The headline: 15–25 live deals today → 120–200 with agents. Beyond 200 needs review time below 1.5 h; not assumed.</t>
  </si>
  <si>
    <t xml:space="preserve">Sources</t>
  </si>
  <si>
    <t xml:space="preserve">Topic</t>
  </si>
  <si>
    <t xml:space="preserve">Source</t>
  </si>
  <si>
    <t xml:space="preserve">Bridging market: BDLA loan books &amp; completions</t>
  </si>
  <si>
    <t xml:space="preserve">Mortgage Solutions, 12 Jun 2026 — https://www.mortgagesolutions.co.uk/specialist-lending/bridging/2026/06/12/bridging-market-softens-as-growth-tapers-off-bdla-finds/</t>
  </si>
  <si>
    <t xml:space="preserve">Bridging market: BDLA Q4 2025</t>
  </si>
  <si>
    <t xml:space="preserve">https://thebdla.org/news/bridging-market-maintains-momentum-in-2025/</t>
  </si>
  <si>
    <t xml:space="preserve">Bridging market: average loan £540k</t>
  </si>
  <si>
    <t xml:space="preserve">MPA Mag — https://www.mpamag.com/uk/mortgage-types/bridging/bdla-reports-strong-start-for-bridging-finance-in-2025/539187</t>
  </si>
  <si>
    <t xml:space="preserve">Bridging Trends 2025 (rate 0.84%, LTV 55%, 43 days, term 12m)</t>
  </si>
  <si>
    <t xml:space="preserve">MT Finance — https://www.mt-finance.com/speed-and-stability-bridging-loan-completion-times-hit-eight-year-low-in-2025/</t>
  </si>
  <si>
    <t xml:space="preserve">Bridging Trends Q2 2026 (rate 0.81%)</t>
  </si>
  <si>
    <t xml:space="preserve">https://www.mt-finance.com/bridging-trends-savvy-borrowers-focus-on-speed-and-equity-release-in-q2/</t>
  </si>
  <si>
    <t xml:space="preserve">Broker channel share (61% primary, 15% direct)</t>
  </si>
  <si>
    <t xml:space="preserve">Mortgage Solutions, 9 Jun 2026 — https://www.mortgagesolutions.co.uk/specialist-lending/bridging/2026/06/09/bridging-lenders-say-the-market-is-still-growing-survey-finds/</t>
  </si>
  <si>
    <t xml:space="preserve">Broker fees / arrangement fee norms</t>
  </si>
  <si>
    <t xml:space="preserve">Bridging Loan Directory fee guide — https://bridgingloandirectory.co.uk/guides/bridging-loan-fees-explained-full-cost-breakdown-2025-guide/</t>
  </si>
  <si>
    <t xml:space="preserve">Broker commission benchmark (1.5% avg)</t>
  </si>
  <si>
    <t xml:space="preserve">Bridging &amp; Commercial, Octane £2bn milestone — https://bridgingandcommercial.co.uk/article/21707/octane-surpasses-%C2%A32bn-lending-milestone</t>
  </si>
  <si>
    <t xml:space="preserve">Loan book per employee benchmarks</t>
  </si>
  <si>
    <t xml:space="preserve">Octane (~30 staff), Hope Capital (32–41), Tuscan (19) — see company press; Tracxn/LinkedIn headcounts</t>
  </si>
  <si>
    <t xml:space="preserve">Salaries: underwriters</t>
  </si>
  <si>
    <t xml:space="preserve">Fintelligent, Tandem, exec-appointments job ads 2025–26; talent.com; Reed</t>
  </si>
  <si>
    <t xml:space="preserve">Salaries: portfolio, completions, admin</t>
  </si>
  <si>
    <t xml:space="preserve">Reed, Fintelligent, NRG, Stellar Select ads; Indeed; PayScale</t>
  </si>
  <si>
    <t xml:space="preserve">Salaries: BDM / Head of Sales</t>
  </si>
  <si>
    <t xml:space="preserve">Fintelligent, Totaljobs, jobsite ads; Glassdoor Head of Sales London</t>
  </si>
  <si>
    <t xml:space="preserve">Salaries: marketing, engineering, CTO</t>
  </si>
  <si>
    <t xml:space="preserve">Glassdoor London 2026</t>
  </si>
  <si>
    <t xml:space="preserve">Salaries: CEO / CFO / COO (estimates)</t>
  </si>
  <si>
    <t xml:space="preserve">Exec Capital, FD Capital, Stone Executive salary guides 2026</t>
  </si>
  <si>
    <t xml:space="preserve">Salaries: compliance</t>
  </si>
  <si>
    <t xml:space="preserve">Morgan McKinley 2026 salary guide</t>
  </si>
  <si>
    <t xml:space="preserve">Employer NI 15%, threshold £5,000</t>
  </si>
  <si>
    <t xml:space="preserve">https://employerscalculator.co.uk/guides/employer-ni-rates-2026-27</t>
  </si>
  <si>
    <t xml:space="preserve">Pension auto-enrolment 3% minimum</t>
  </si>
  <si>
    <t xml:space="preserve">https://www.moorepay.co.uk/payroll-hr-rates/automatic-enrolment/</t>
  </si>
  <si>
    <t xml:space="preserve">All-in on-cost multiplier 1.25–1.4x</t>
  </si>
  <si>
    <t xml:space="preserve">https://grove.hr/blog/true-cost-hiring-employee-uk</t>
  </si>
  <si>
    <t xml:space="preserve">London serviced office £700–900/desk/month</t>
  </si>
  <si>
    <t xml:space="preserve">https://www.flexioffices.co.uk/blog/serviced-office-cost-london</t>
  </si>
  <si>
    <t xml:space="preserve">Land Registry fees £7</t>
  </si>
  <si>
    <t xml:space="preserve">https://gov.uk/guidance/changes-to-fees-for-hm-land-registrys-information-services</t>
  </si>
  <si>
    <t xml:space="preserve">KYC / credit / AVM per-check costs</t>
  </si>
  <si>
    <t xml:space="preserve">SmartSearch, Creditsafe/Experian comparison, Hometrack retail pricing</t>
  </si>
  <si>
    <t xml:space="preserve">AI model pricing (Opus 5 $5/$25 per M tokens)</t>
  </si>
  <si>
    <t xml:space="preserve">Anthropic pricing, June 2026 — https://docs.anthropic.com/en/docs/about-claude/pricing</t>
  </si>
  <si>
    <t xml:space="preserve">Founder inputs</t>
  </si>
  <si>
    <t xml:space="preserve">Lisa Huang — underwriting experience: ~25 loans/yr, 15–25 live cases, £500k–£1m facilities, 15–28 day completions, broker fee 1–2%</t>
  </si>
  <si>
    <t xml:space="preserve">Founder data: deal pricing calculator (anonymised)</t>
  </si>
  <si>
    <t xml:space="preserve">Rate 0.95%/mo fixed; partner advance 95% at 8.25–9.75%; bank line BoE+4.3–4.8% at 75% advance; lender first-loss 5%; arrangement fee 2% with introducer share; admin £1,250–1,995; drawdown £295/mo; redemption £495; partner fee £500; example deal GPM 4.6% of facility over 18 months</t>
  </si>
  <si>
    <t xml:space="preserve">Founder data: pipeline tracker (Jan 2026, anonymised)</t>
  </si>
  <si>
    <t xml:space="preserve">~20 live cases; facilities £205k–£1.59m, median ≈ £440k; weekly status dominated by chasing valuers, monitoring surveyors and solicitors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</si>
</sst>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;&quot;(£&quot;#,##0\);\-"/>
    <numFmt numFmtId="166" formatCode="0.0%;\(0.0%\);\-"/>
    <numFmt numFmtId="167" formatCode="#,##0;\(#,##0\);\-"/>
    <numFmt numFmtId="168" formatCode="#,##0.0;\(#,##0.0\);\-"/>
    <numFmt numFmtId="169" formatCode="0.00%;\(0.00%\);\-"/>
    <numFmt numFmtId="170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4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48"/>
        <bgColor rgb="FF003366"/>
      </patternFill>
    </fill>
    <fill>
      <patternFill patternType="solid">
        <fgColor rgb="FFD9E8E4"/>
        <bgColor rgb="FFEAF2EF"/>
      </patternFill>
    </fill>
    <fill>
      <patternFill patternType="solid">
        <fgColor rgb="FFFFFF00"/>
        <bgColor rgb="FFFFFF00"/>
      </patternFill>
    </fill>
    <fill>
      <patternFill patternType="solid">
        <fgColor rgb="FFEAF2EF"/>
        <bgColor rgb="FFD9E8E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2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2" t="s">
        <v>16</v>
      </c>
    </row>
    <row r="23" customFormat="false" ht="23.85" hidden="false" customHeight="false" outlineLevel="0" collapsed="false">
      <c r="B23" s="2" t="s">
        <v>17</v>
      </c>
    </row>
    <row r="24" customFormat="false" ht="23.85" hidden="false" customHeight="false" outlineLevel="0" collapsed="false">
      <c r="B24" s="2" t="s">
        <v>18</v>
      </c>
    </row>
    <row r="25" customFormat="false" ht="23.8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 t="s">
        <v>21</v>
      </c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70"/>
  </cols>
  <sheetData>
    <row r="2" customFormat="false" ht="17.35" hidden="false" customHeight="false" outlineLevel="0" collapsed="false">
      <c r="B2" s="1" t="s">
        <v>23</v>
      </c>
    </row>
    <row r="4" customFormat="false" ht="15" hidden="false" customHeight="false" outlineLevel="0" collapsed="false">
      <c r="B4" s="4" t="s">
        <v>24</v>
      </c>
      <c r="C4" s="4" t="s">
        <v>25</v>
      </c>
      <c r="D4" s="4" t="s">
        <v>26</v>
      </c>
      <c r="E4" s="4" t="s">
        <v>27</v>
      </c>
    </row>
    <row r="5" customFormat="false" ht="15.75" hidden="false" customHeight="true" outlineLevel="0" collapsed="false">
      <c r="B5" s="5" t="s">
        <v>28</v>
      </c>
      <c r="C5" s="6"/>
      <c r="D5" s="6"/>
      <c r="E5" s="6"/>
    </row>
    <row r="6" customFormat="false" ht="30" hidden="false" customHeight="true" outlineLevel="0" collapsed="false">
      <c r="B6" s="7" t="s">
        <v>29</v>
      </c>
      <c r="C6" s="8" t="n">
        <v>150000000</v>
      </c>
      <c r="D6" s="9" t="s">
        <v>30</v>
      </c>
      <c r="E6" s="10" t="s">
        <v>31</v>
      </c>
    </row>
    <row r="7" customFormat="false" ht="30" hidden="false" customHeight="true" outlineLevel="0" collapsed="false">
      <c r="B7" s="7" t="s">
        <v>32</v>
      </c>
      <c r="C7" s="8" t="n">
        <v>650000</v>
      </c>
      <c r="D7" s="9" t="s">
        <v>30</v>
      </c>
      <c r="E7" s="10" t="s">
        <v>33</v>
      </c>
    </row>
    <row r="8" customFormat="false" ht="30" hidden="false" customHeight="true" outlineLevel="0" collapsed="false">
      <c r="B8" s="7" t="s">
        <v>34</v>
      </c>
      <c r="C8" s="8" t="n">
        <v>1250000</v>
      </c>
      <c r="D8" s="9" t="s">
        <v>30</v>
      </c>
      <c r="E8" s="10" t="s">
        <v>35</v>
      </c>
    </row>
    <row r="9" customFormat="false" ht="30" hidden="false" customHeight="true" outlineLevel="0" collapsed="false">
      <c r="B9" s="7" t="s">
        <v>36</v>
      </c>
      <c r="C9" s="11" t="n">
        <v>0.3</v>
      </c>
      <c r="D9" s="9" t="s">
        <v>37</v>
      </c>
      <c r="E9" s="10" t="s">
        <v>38</v>
      </c>
    </row>
    <row r="10" customFormat="false" ht="30" hidden="false" customHeight="true" outlineLevel="0" collapsed="false">
      <c r="B10" s="7" t="s">
        <v>39</v>
      </c>
      <c r="C10" s="12" t="n">
        <f aca="false">C7*(1-C9)+C8*C9</f>
        <v>830000</v>
      </c>
      <c r="D10" s="9" t="s">
        <v>30</v>
      </c>
      <c r="E10" s="10" t="s">
        <v>40</v>
      </c>
    </row>
    <row r="11" customFormat="false" ht="30" hidden="false" customHeight="true" outlineLevel="0" collapsed="false">
      <c r="B11" s="7" t="s">
        <v>41</v>
      </c>
      <c r="C11" s="13" t="n">
        <v>12</v>
      </c>
      <c r="D11" s="9" t="s">
        <v>42</v>
      </c>
      <c r="E11" s="10" t="s">
        <v>43</v>
      </c>
    </row>
    <row r="12" customFormat="false" ht="30" hidden="false" customHeight="true" outlineLevel="0" collapsed="false">
      <c r="B12" s="7" t="s">
        <v>44</v>
      </c>
      <c r="C12" s="14" t="n">
        <f aca="false">ROUND(C6/C10*12/C11,0)</f>
        <v>181</v>
      </c>
      <c r="D12" s="9" t="s">
        <v>45</v>
      </c>
      <c r="E12" s="10" t="s">
        <v>46</v>
      </c>
    </row>
    <row r="13" customFormat="false" ht="30" hidden="false" customHeight="true" outlineLevel="0" collapsed="false">
      <c r="B13" s="7" t="s">
        <v>47</v>
      </c>
      <c r="C13" s="12" t="n">
        <f aca="false">C12*C10</f>
        <v>150230000</v>
      </c>
      <c r="D13" s="9" t="s">
        <v>30</v>
      </c>
      <c r="E13" s="10" t="s">
        <v>48</v>
      </c>
    </row>
    <row r="14" customFormat="false" ht="30" hidden="false" customHeight="true" outlineLevel="0" collapsed="false">
      <c r="B14" s="7" t="s">
        <v>49</v>
      </c>
      <c r="C14" s="15" t="n">
        <v>4</v>
      </c>
      <c r="D14" s="9" t="s">
        <v>50</v>
      </c>
      <c r="E14" s="10" t="s">
        <v>51</v>
      </c>
    </row>
    <row r="15" customFormat="false" ht="30" hidden="false" customHeight="true" outlineLevel="0" collapsed="false">
      <c r="B15" s="7" t="s">
        <v>52</v>
      </c>
      <c r="C15" s="14" t="n">
        <f aca="false">C12*C14</f>
        <v>724</v>
      </c>
      <c r="D15" s="9" t="s">
        <v>53</v>
      </c>
      <c r="E15" s="10" t="s">
        <v>54</v>
      </c>
    </row>
    <row r="16" customFormat="false" ht="15.75" hidden="false" customHeight="true" outlineLevel="0" collapsed="false">
      <c r="B16" s="5" t="s">
        <v>55</v>
      </c>
      <c r="C16" s="6"/>
      <c r="D16" s="6"/>
      <c r="E16" s="6"/>
    </row>
    <row r="17" customFormat="false" ht="30" hidden="false" customHeight="true" outlineLevel="0" collapsed="false">
      <c r="B17" s="7" t="s">
        <v>56</v>
      </c>
      <c r="C17" s="16" t="n">
        <v>0.009</v>
      </c>
      <c r="D17" s="9" t="s">
        <v>57</v>
      </c>
      <c r="E17" s="10" t="s">
        <v>58</v>
      </c>
    </row>
    <row r="18" customFormat="false" ht="30" hidden="false" customHeight="true" outlineLevel="0" collapsed="false">
      <c r="B18" s="7" t="s">
        <v>59</v>
      </c>
      <c r="C18" s="17" t="n">
        <f aca="false">C17*12</f>
        <v>0.108</v>
      </c>
      <c r="D18" s="9" t="s">
        <v>60</v>
      </c>
      <c r="E18" s="10" t="s">
        <v>61</v>
      </c>
    </row>
    <row r="19" customFormat="false" ht="30" hidden="false" customHeight="true" outlineLevel="0" collapsed="false">
      <c r="B19" s="7" t="s">
        <v>62</v>
      </c>
      <c r="C19" s="11" t="n">
        <v>0.02</v>
      </c>
      <c r="D19" s="9" t="s">
        <v>63</v>
      </c>
      <c r="E19" s="10" t="s">
        <v>64</v>
      </c>
    </row>
    <row r="20" customFormat="false" ht="30" hidden="false" customHeight="true" outlineLevel="0" collapsed="false">
      <c r="B20" s="7" t="s">
        <v>65</v>
      </c>
      <c r="C20" s="11" t="n">
        <v>0.005</v>
      </c>
      <c r="D20" s="9" t="s">
        <v>63</v>
      </c>
      <c r="E20" s="10" t="s">
        <v>66</v>
      </c>
    </row>
    <row r="21" customFormat="false" ht="30" hidden="false" customHeight="true" outlineLevel="0" collapsed="false">
      <c r="B21" s="7" t="s">
        <v>67</v>
      </c>
      <c r="C21" s="18" t="n">
        <v>1500</v>
      </c>
      <c r="D21" s="9" t="s">
        <v>30</v>
      </c>
      <c r="E21" s="10" t="s">
        <v>68</v>
      </c>
    </row>
    <row r="22" customFormat="false" ht="30" hidden="false" customHeight="true" outlineLevel="0" collapsed="false">
      <c r="B22" s="7" t="s">
        <v>69</v>
      </c>
      <c r="C22" s="18" t="n">
        <v>1500</v>
      </c>
      <c r="D22" s="9" t="s">
        <v>30</v>
      </c>
      <c r="E22" s="10" t="s">
        <v>70</v>
      </c>
    </row>
    <row r="23" customFormat="false" ht="30" hidden="false" customHeight="true" outlineLevel="0" collapsed="false">
      <c r="B23" s="7" t="s">
        <v>71</v>
      </c>
      <c r="C23" s="19" t="n">
        <v>0</v>
      </c>
      <c r="D23" s="9" t="s">
        <v>63</v>
      </c>
      <c r="E23" s="10" t="s">
        <v>72</v>
      </c>
    </row>
    <row r="24" customFormat="false" ht="30" hidden="false" customHeight="true" outlineLevel="0" collapsed="false">
      <c r="B24" s="7" t="s">
        <v>73</v>
      </c>
      <c r="C24" s="19" t="n">
        <v>0.002</v>
      </c>
      <c r="D24" s="9" t="s">
        <v>74</v>
      </c>
      <c r="E24" s="10" t="s">
        <v>75</v>
      </c>
    </row>
    <row r="25" customFormat="false" ht="30" hidden="false" customHeight="true" outlineLevel="0" collapsed="false">
      <c r="B25" s="7" t="s">
        <v>76</v>
      </c>
      <c r="C25" s="19" t="n">
        <v>0.85</v>
      </c>
      <c r="D25" s="9" t="s">
        <v>77</v>
      </c>
      <c r="E25" s="10" t="s">
        <v>78</v>
      </c>
    </row>
    <row r="26" customFormat="false" ht="15.75" hidden="false" customHeight="true" outlineLevel="0" collapsed="false">
      <c r="B26" s="5" t="s">
        <v>79</v>
      </c>
      <c r="C26" s="6"/>
      <c r="D26" s="6"/>
      <c r="E26" s="6"/>
    </row>
    <row r="27" customFormat="false" ht="30" hidden="false" customHeight="true" outlineLevel="0" collapsed="false">
      <c r="B27" s="7" t="s">
        <v>80</v>
      </c>
      <c r="C27" s="16" t="n">
        <v>0.0875</v>
      </c>
      <c r="D27" s="9" t="s">
        <v>60</v>
      </c>
      <c r="E27" s="10" t="s">
        <v>81</v>
      </c>
    </row>
    <row r="28" customFormat="false" ht="30" hidden="false" customHeight="true" outlineLevel="0" collapsed="false">
      <c r="B28" s="7" t="s">
        <v>82</v>
      </c>
      <c r="C28" s="19" t="n">
        <v>0.95</v>
      </c>
      <c r="D28" s="9" t="s">
        <v>77</v>
      </c>
      <c r="E28" s="10" t="s">
        <v>83</v>
      </c>
    </row>
    <row r="29" customFormat="false" ht="30" hidden="false" customHeight="true" outlineLevel="0" collapsed="false">
      <c r="B29" s="7" t="s">
        <v>84</v>
      </c>
      <c r="C29" s="18" t="n">
        <v>500</v>
      </c>
      <c r="D29" s="9" t="s">
        <v>30</v>
      </c>
      <c r="E29" s="10" t="s">
        <v>85</v>
      </c>
    </row>
    <row r="30" customFormat="false" ht="30" hidden="false" customHeight="true" outlineLevel="0" collapsed="false">
      <c r="B30" s="7" t="s">
        <v>86</v>
      </c>
      <c r="C30" s="16" t="n">
        <v>0.005</v>
      </c>
      <c r="D30" s="9" t="s">
        <v>60</v>
      </c>
      <c r="E30" s="10" t="s">
        <v>87</v>
      </c>
    </row>
    <row r="31" customFormat="false" ht="15.75" hidden="false" customHeight="true" outlineLevel="0" collapsed="false">
      <c r="B31" s="5" t="s">
        <v>88</v>
      </c>
      <c r="C31" s="6"/>
      <c r="D31" s="6"/>
      <c r="E31" s="6"/>
    </row>
    <row r="32" customFormat="false" ht="30" hidden="false" customHeight="true" outlineLevel="0" collapsed="false">
      <c r="B32" s="7" t="s">
        <v>89</v>
      </c>
      <c r="C32" s="19" t="n">
        <v>0.15</v>
      </c>
      <c r="D32" s="9" t="s">
        <v>77</v>
      </c>
      <c r="E32" s="10" t="s">
        <v>90</v>
      </c>
    </row>
    <row r="33" customFormat="false" ht="30" hidden="false" customHeight="true" outlineLevel="0" collapsed="false">
      <c r="B33" s="7" t="s">
        <v>91</v>
      </c>
      <c r="C33" s="18" t="n">
        <v>5000</v>
      </c>
      <c r="D33" s="9" t="s">
        <v>92</v>
      </c>
      <c r="E33" s="10" t="s">
        <v>93</v>
      </c>
    </row>
    <row r="34" customFormat="false" ht="30" hidden="false" customHeight="true" outlineLevel="0" collapsed="false">
      <c r="B34" s="7" t="s">
        <v>94</v>
      </c>
      <c r="C34" s="19" t="n">
        <v>0.05</v>
      </c>
      <c r="D34" s="9" t="s">
        <v>95</v>
      </c>
      <c r="E34" s="10" t="s">
        <v>96</v>
      </c>
    </row>
    <row r="35" customFormat="false" ht="30" hidden="false" customHeight="true" outlineLevel="0" collapsed="false">
      <c r="B35" s="7" t="s">
        <v>97</v>
      </c>
      <c r="C35" s="19" t="n">
        <v>0.08</v>
      </c>
      <c r="D35" s="9" t="s">
        <v>95</v>
      </c>
      <c r="E35" s="10" t="s">
        <v>98</v>
      </c>
    </row>
    <row r="36" customFormat="false" ht="30" hidden="false" customHeight="true" outlineLevel="0" collapsed="false">
      <c r="B36" s="7" t="s">
        <v>99</v>
      </c>
      <c r="C36" s="18" t="n">
        <v>9600</v>
      </c>
      <c r="D36" s="9" t="s">
        <v>92</v>
      </c>
      <c r="E36" s="10" t="s">
        <v>100</v>
      </c>
    </row>
    <row r="37" customFormat="false" ht="30" hidden="false" customHeight="true" outlineLevel="0" collapsed="false">
      <c r="B37" s="7" t="s">
        <v>101</v>
      </c>
      <c r="C37" s="18" t="n">
        <v>3000</v>
      </c>
      <c r="D37" s="9" t="s">
        <v>92</v>
      </c>
      <c r="E37" s="10" t="s">
        <v>102</v>
      </c>
    </row>
    <row r="38" customFormat="false" ht="15.75" hidden="false" customHeight="true" outlineLevel="0" collapsed="false">
      <c r="B38" s="5" t="s">
        <v>103</v>
      </c>
      <c r="C38" s="6"/>
      <c r="D38" s="6"/>
      <c r="E38" s="6"/>
    </row>
    <row r="39" customFormat="false" ht="30" hidden="false" customHeight="true" outlineLevel="0" collapsed="false">
      <c r="B39" s="7" t="s">
        <v>104</v>
      </c>
      <c r="C39" s="8" t="n">
        <v>16</v>
      </c>
      <c r="D39" s="9" t="s">
        <v>30</v>
      </c>
      <c r="E39" s="10" t="s">
        <v>105</v>
      </c>
    </row>
    <row r="40" customFormat="false" ht="30" hidden="false" customHeight="true" outlineLevel="0" collapsed="false">
      <c r="B40" s="7" t="s">
        <v>106</v>
      </c>
      <c r="C40" s="18" t="n">
        <v>50</v>
      </c>
      <c r="D40" s="9" t="s">
        <v>30</v>
      </c>
      <c r="E40" s="10" t="s">
        <v>107</v>
      </c>
    </row>
    <row r="41" customFormat="false" ht="30" hidden="false" customHeight="true" outlineLevel="0" collapsed="false">
      <c r="B41" s="7" t="s">
        <v>108</v>
      </c>
      <c r="C41" s="18" t="n">
        <v>60000</v>
      </c>
      <c r="D41" s="9" t="s">
        <v>92</v>
      </c>
      <c r="E41" s="10" t="s">
        <v>109</v>
      </c>
    </row>
    <row r="42" customFormat="false" ht="30" hidden="false" customHeight="true" outlineLevel="0" collapsed="false">
      <c r="B42" s="7" t="s">
        <v>110</v>
      </c>
      <c r="C42" s="15" t="n">
        <v>1.5</v>
      </c>
      <c r="D42" s="9" t="s">
        <v>111</v>
      </c>
      <c r="E42" s="10" t="s">
        <v>112</v>
      </c>
    </row>
    <row r="43" customFormat="false" ht="30" hidden="false" customHeight="true" outlineLevel="0" collapsed="false">
      <c r="B43" s="7" t="s">
        <v>113</v>
      </c>
      <c r="C43" s="20" t="n">
        <v>12</v>
      </c>
      <c r="D43" s="9" t="s">
        <v>111</v>
      </c>
      <c r="E43" s="10" t="s">
        <v>114</v>
      </c>
    </row>
    <row r="44" customFormat="false" ht="30" hidden="false" customHeight="true" outlineLevel="0" collapsed="false">
      <c r="B44" s="7" t="s">
        <v>115</v>
      </c>
      <c r="C44" s="13" t="n">
        <v>1650</v>
      </c>
      <c r="D44" s="9" t="s">
        <v>111</v>
      </c>
      <c r="E44" s="10" t="s">
        <v>116</v>
      </c>
    </row>
    <row r="45" customFormat="false" ht="15.75" hidden="false" customHeight="true" outlineLevel="0" collapsed="false">
      <c r="B45" s="5" t="s">
        <v>117</v>
      </c>
      <c r="C45" s="6"/>
      <c r="D45" s="6"/>
      <c r="E45" s="6"/>
    </row>
    <row r="46" customFormat="false" ht="30" hidden="false" customHeight="true" outlineLevel="0" collapsed="false">
      <c r="B46" s="7" t="s">
        <v>118</v>
      </c>
      <c r="C46" s="13" t="n">
        <v>15</v>
      </c>
      <c r="D46" s="9" t="s">
        <v>53</v>
      </c>
      <c r="E46" s="10" t="s">
        <v>119</v>
      </c>
    </row>
    <row r="47" customFormat="false" ht="30" hidden="false" customHeight="true" outlineLevel="0" collapsed="false">
      <c r="B47" s="7" t="s">
        <v>120</v>
      </c>
      <c r="C47" s="21" t="n">
        <v>25</v>
      </c>
      <c r="D47" s="9" t="s">
        <v>53</v>
      </c>
      <c r="E47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10" min="7" style="0" width="14"/>
    <col collapsed="false" customWidth="true" hidden="false" outlineLevel="0" max="11" min="11" style="0" width="16"/>
    <col collapsed="false" customWidth="true" hidden="false" outlineLevel="0" max="12" min="12" style="0" width="40"/>
  </cols>
  <sheetData>
    <row r="2" customFormat="false" ht="17.35" hidden="false" customHeight="false" outlineLevel="0" collapsed="false">
      <c r="B2" s="1" t="s">
        <v>122</v>
      </c>
    </row>
    <row r="3" customFormat="false" ht="15" hidden="false" customHeight="false" outlineLevel="0" collapsed="false">
      <c r="B3" s="9" t="s">
        <v>123</v>
      </c>
    </row>
    <row r="5" customFormat="false" ht="26.85" hidden="false" customHeight="false" outlineLevel="0" collapsed="false"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  <c r="G5" s="4" t="s">
        <v>129</v>
      </c>
      <c r="H5" s="4" t="s">
        <v>130</v>
      </c>
      <c r="I5" s="4" t="s">
        <v>131</v>
      </c>
      <c r="J5" s="4" t="s">
        <v>132</v>
      </c>
      <c r="K5" s="4" t="s">
        <v>133</v>
      </c>
      <c r="L5" s="4" t="s">
        <v>134</v>
      </c>
    </row>
    <row r="6" customFormat="false" ht="15" hidden="false" customHeight="false" outlineLevel="0" collapsed="false">
      <c r="B6" s="7" t="s">
        <v>135</v>
      </c>
      <c r="C6" s="7" t="s">
        <v>136</v>
      </c>
      <c r="D6" s="15" t="n">
        <v>1</v>
      </c>
      <c r="E6" s="18" t="n">
        <v>115000</v>
      </c>
      <c r="F6" s="19" t="n">
        <v>0.25</v>
      </c>
      <c r="G6" s="12" t="n">
        <f aca="false">D6*E6</f>
        <v>115000</v>
      </c>
      <c r="H6" s="12" t="n">
        <f aca="false">G6*F6</f>
        <v>28750</v>
      </c>
      <c r="I6" s="12" t="n">
        <f aca="false">MAX(0,(E6+E6*F6)-Assumptions!$C$33)*Assumptions!$C$32*D6</f>
        <v>20812.5</v>
      </c>
      <c r="J6" s="12" t="n">
        <f aca="false">(G6+H6)*(Assumptions!$C$34+Assumptions!$C$35)</f>
        <v>18687.5</v>
      </c>
      <c r="K6" s="12" t="n">
        <f aca="false">G6+H6+I6+J6</f>
        <v>183250</v>
      </c>
      <c r="L6" s="9" t="s">
        <v>137</v>
      </c>
    </row>
    <row r="7" customFormat="false" ht="15" hidden="false" customHeight="false" outlineLevel="0" collapsed="false">
      <c r="B7" s="7" t="s">
        <v>135</v>
      </c>
      <c r="C7" s="7" t="s">
        <v>138</v>
      </c>
      <c r="D7" s="15" t="n">
        <v>2</v>
      </c>
      <c r="E7" s="18" t="n">
        <v>65000</v>
      </c>
      <c r="F7" s="19" t="n">
        <v>0.15</v>
      </c>
      <c r="G7" s="12" t="n">
        <f aca="false">D7*E7</f>
        <v>130000</v>
      </c>
      <c r="H7" s="12" t="n">
        <f aca="false">G7*F7</f>
        <v>19500</v>
      </c>
      <c r="I7" s="12" t="n">
        <f aca="false">MAX(0,(E7+E7*F7)-Assumptions!$C$33)*Assumptions!$C$32*D7</f>
        <v>20925</v>
      </c>
      <c r="J7" s="12" t="n">
        <f aca="false">(G7+H7)*(Assumptions!$C$34+Assumptions!$C$35)</f>
        <v>19435</v>
      </c>
      <c r="K7" s="12" t="n">
        <f aca="false">G7+H7+I7+J7</f>
        <v>189860</v>
      </c>
      <c r="L7" s="9" t="s">
        <v>139</v>
      </c>
    </row>
    <row r="8" customFormat="false" ht="15" hidden="false" customHeight="false" outlineLevel="0" collapsed="false">
      <c r="B8" s="7" t="s">
        <v>135</v>
      </c>
      <c r="C8" s="7" t="s">
        <v>140</v>
      </c>
      <c r="D8" s="15" t="n">
        <v>4</v>
      </c>
      <c r="E8" s="18" t="n">
        <v>50000</v>
      </c>
      <c r="F8" s="19" t="n">
        <v>0.1</v>
      </c>
      <c r="G8" s="12" t="n">
        <f aca="false">D8*E8</f>
        <v>200000</v>
      </c>
      <c r="H8" s="12" t="n">
        <f aca="false">G8*F8</f>
        <v>20000</v>
      </c>
      <c r="I8" s="12" t="n">
        <f aca="false">MAX(0,(E8+E8*F8)-Assumptions!$C$33)*Assumptions!$C$32*D8</f>
        <v>30000</v>
      </c>
      <c r="J8" s="12" t="n">
        <f aca="false">(G8+H8)*(Assumptions!$C$34+Assumptions!$C$35)</f>
        <v>28600</v>
      </c>
      <c r="K8" s="12" t="n">
        <f aca="false">G8+H8+I8+J8</f>
        <v>278600</v>
      </c>
      <c r="L8" s="9" t="s">
        <v>141</v>
      </c>
    </row>
    <row r="9" customFormat="false" ht="15" hidden="false" customHeight="false" outlineLevel="0" collapsed="false">
      <c r="B9" s="7" t="s">
        <v>135</v>
      </c>
      <c r="C9" s="7" t="s">
        <v>142</v>
      </c>
      <c r="D9" s="15" t="n">
        <v>3</v>
      </c>
      <c r="E9" s="18" t="n">
        <v>35000</v>
      </c>
      <c r="F9" s="19" t="n">
        <v>0.05</v>
      </c>
      <c r="G9" s="12" t="n">
        <f aca="false">D9*E9</f>
        <v>105000</v>
      </c>
      <c r="H9" s="12" t="n">
        <f aca="false">G9*F9</f>
        <v>5250</v>
      </c>
      <c r="I9" s="12" t="n">
        <f aca="false">MAX(0,(E9+E9*F9)-Assumptions!$C$33)*Assumptions!$C$32*D9</f>
        <v>14287.5</v>
      </c>
      <c r="J9" s="12" t="n">
        <f aca="false">(G9+H9)*(Assumptions!$C$34+Assumptions!$C$35)</f>
        <v>14332.5</v>
      </c>
      <c r="K9" s="12" t="n">
        <f aca="false">G9+H9+I9+J9</f>
        <v>138870</v>
      </c>
      <c r="L9" s="9" t="s">
        <v>143</v>
      </c>
    </row>
    <row r="10" customFormat="false" ht="15" hidden="false" customHeight="false" outlineLevel="0" collapsed="false">
      <c r="B10" s="7" t="s">
        <v>144</v>
      </c>
      <c r="C10" s="7" t="s">
        <v>145</v>
      </c>
      <c r="D10" s="15" t="n">
        <v>1</v>
      </c>
      <c r="E10" s="18" t="n">
        <v>57500</v>
      </c>
      <c r="F10" s="19" t="n">
        <v>0.125</v>
      </c>
      <c r="G10" s="12" t="n">
        <f aca="false">D10*E10</f>
        <v>57500</v>
      </c>
      <c r="H10" s="12" t="n">
        <f aca="false">G10*F10</f>
        <v>7187.5</v>
      </c>
      <c r="I10" s="12" t="n">
        <f aca="false">MAX(0,(E10+E10*F10)-Assumptions!$C$33)*Assumptions!$C$32*D10</f>
        <v>8953.125</v>
      </c>
      <c r="J10" s="12" t="n">
        <f aca="false">(G10+H10)*(Assumptions!$C$34+Assumptions!$C$35)</f>
        <v>8409.375</v>
      </c>
      <c r="K10" s="12" t="n">
        <f aca="false">G10+H10+I10+J10</f>
        <v>82050</v>
      </c>
      <c r="L10" s="9" t="s">
        <v>146</v>
      </c>
    </row>
    <row r="11" customFormat="false" ht="15" hidden="false" customHeight="false" outlineLevel="0" collapsed="false">
      <c r="B11" s="7" t="s">
        <v>144</v>
      </c>
      <c r="C11" s="7" t="s">
        <v>147</v>
      </c>
      <c r="D11" s="15" t="n">
        <v>3</v>
      </c>
      <c r="E11" s="18" t="n">
        <v>42500</v>
      </c>
      <c r="F11" s="19" t="n">
        <v>0.05</v>
      </c>
      <c r="G11" s="12" t="n">
        <f aca="false">D11*E11</f>
        <v>127500</v>
      </c>
      <c r="H11" s="12" t="n">
        <f aca="false">G11*F11</f>
        <v>6375</v>
      </c>
      <c r="I11" s="12" t="n">
        <f aca="false">MAX(0,(E11+E11*F11)-Assumptions!$C$33)*Assumptions!$C$32*D11</f>
        <v>17831.25</v>
      </c>
      <c r="J11" s="12" t="n">
        <f aca="false">(G11+H11)*(Assumptions!$C$34+Assumptions!$C$35)</f>
        <v>17403.75</v>
      </c>
      <c r="K11" s="12" t="n">
        <f aca="false">G11+H11+I11+J11</f>
        <v>169110</v>
      </c>
      <c r="L11" s="9" t="s">
        <v>148</v>
      </c>
    </row>
    <row r="12" customFormat="false" ht="15" hidden="false" customHeight="false" outlineLevel="0" collapsed="false">
      <c r="B12" s="7" t="s">
        <v>144</v>
      </c>
      <c r="C12" s="7" t="s">
        <v>149</v>
      </c>
      <c r="D12" s="15" t="n">
        <v>4</v>
      </c>
      <c r="E12" s="18" t="n">
        <v>32000</v>
      </c>
      <c r="F12" s="19" t="n">
        <v>0.025</v>
      </c>
      <c r="G12" s="12" t="n">
        <f aca="false">D12*E12</f>
        <v>128000</v>
      </c>
      <c r="H12" s="12" t="n">
        <f aca="false">G12*F12</f>
        <v>3200</v>
      </c>
      <c r="I12" s="12" t="n">
        <f aca="false">MAX(0,(E12+E12*F12)-Assumptions!$C$33)*Assumptions!$C$32*D12</f>
        <v>16680</v>
      </c>
      <c r="J12" s="12" t="n">
        <f aca="false">(G12+H12)*(Assumptions!$C$34+Assumptions!$C$35)</f>
        <v>17056</v>
      </c>
      <c r="K12" s="12" t="n">
        <f aca="false">G12+H12+I12+J12</f>
        <v>164936</v>
      </c>
      <c r="L12" s="9" t="s">
        <v>150</v>
      </c>
    </row>
    <row r="13" customFormat="false" ht="15" hidden="false" customHeight="false" outlineLevel="0" collapsed="false">
      <c r="B13" s="7" t="s">
        <v>151</v>
      </c>
      <c r="C13" s="7" t="s">
        <v>152</v>
      </c>
      <c r="D13" s="15" t="n">
        <v>1</v>
      </c>
      <c r="E13" s="18" t="n">
        <v>110000</v>
      </c>
      <c r="F13" s="19" t="n">
        <v>0.35</v>
      </c>
      <c r="G13" s="12" t="n">
        <f aca="false">D13*E13</f>
        <v>110000</v>
      </c>
      <c r="H13" s="12" t="n">
        <f aca="false">G13*F13</f>
        <v>38500</v>
      </c>
      <c r="I13" s="12" t="n">
        <f aca="false">MAX(0,(E13+E13*F13)-Assumptions!$C$33)*Assumptions!$C$32*D13</f>
        <v>21525</v>
      </c>
      <c r="J13" s="12" t="n">
        <f aca="false">(G13+H13)*(Assumptions!$C$34+Assumptions!$C$35)</f>
        <v>19305</v>
      </c>
      <c r="K13" s="12" t="n">
        <f aca="false">G13+H13+I13+J13</f>
        <v>189330</v>
      </c>
      <c r="L13" s="9" t="s">
        <v>153</v>
      </c>
    </row>
    <row r="14" customFormat="false" ht="15" hidden="false" customHeight="false" outlineLevel="0" collapsed="false">
      <c r="B14" s="7" t="s">
        <v>151</v>
      </c>
      <c r="C14" s="7" t="s">
        <v>154</v>
      </c>
      <c r="D14" s="15" t="n">
        <v>2</v>
      </c>
      <c r="E14" s="18" t="n">
        <v>85000</v>
      </c>
      <c r="F14" s="19" t="n">
        <v>0.6</v>
      </c>
      <c r="G14" s="12" t="n">
        <f aca="false">D14*E14</f>
        <v>170000</v>
      </c>
      <c r="H14" s="12" t="n">
        <f aca="false">G14*F14</f>
        <v>102000</v>
      </c>
      <c r="I14" s="12" t="n">
        <f aca="false">MAX(0,(E14+E14*F14)-Assumptions!$C$33)*Assumptions!$C$32*D14</f>
        <v>39300</v>
      </c>
      <c r="J14" s="12" t="n">
        <f aca="false">(G14+H14)*(Assumptions!$C$34+Assumptions!$C$35)</f>
        <v>35360</v>
      </c>
      <c r="K14" s="12" t="n">
        <f aca="false">G14+H14+I14+J14</f>
        <v>346660</v>
      </c>
      <c r="L14" s="9" t="s">
        <v>155</v>
      </c>
    </row>
    <row r="15" customFormat="false" ht="15" hidden="false" customHeight="false" outlineLevel="0" collapsed="false">
      <c r="B15" s="7" t="s">
        <v>151</v>
      </c>
      <c r="C15" s="7" t="s">
        <v>156</v>
      </c>
      <c r="D15" s="15" t="n">
        <v>3</v>
      </c>
      <c r="E15" s="18" t="n">
        <v>65000</v>
      </c>
      <c r="F15" s="19" t="n">
        <v>0.4</v>
      </c>
      <c r="G15" s="12" t="n">
        <f aca="false">D15*E15</f>
        <v>195000</v>
      </c>
      <c r="H15" s="12" t="n">
        <f aca="false">G15*F15</f>
        <v>78000</v>
      </c>
      <c r="I15" s="12" t="n">
        <f aca="false">MAX(0,(E15+E15*F15)-Assumptions!$C$33)*Assumptions!$C$32*D15</f>
        <v>38700</v>
      </c>
      <c r="J15" s="12" t="n">
        <f aca="false">(G15+H15)*(Assumptions!$C$34+Assumptions!$C$35)</f>
        <v>35490</v>
      </c>
      <c r="K15" s="12" t="n">
        <f aca="false">G15+H15+I15+J15</f>
        <v>347190</v>
      </c>
      <c r="L15" s="9" t="s">
        <v>157</v>
      </c>
    </row>
    <row r="16" customFormat="false" ht="15" hidden="false" customHeight="false" outlineLevel="0" collapsed="false">
      <c r="B16" s="7" t="s">
        <v>158</v>
      </c>
      <c r="C16" s="7" t="s">
        <v>159</v>
      </c>
      <c r="D16" s="15" t="n">
        <v>1</v>
      </c>
      <c r="E16" s="18" t="n">
        <v>48000</v>
      </c>
      <c r="F16" s="19" t="n">
        <v>0.075</v>
      </c>
      <c r="G16" s="12" t="n">
        <f aca="false">D16*E16</f>
        <v>48000</v>
      </c>
      <c r="H16" s="12" t="n">
        <f aca="false">G16*F16</f>
        <v>3600</v>
      </c>
      <c r="I16" s="12" t="n">
        <f aca="false">MAX(0,(E16+E16*F16)-Assumptions!$C$33)*Assumptions!$C$32*D16</f>
        <v>6990</v>
      </c>
      <c r="J16" s="12" t="n">
        <f aca="false">(G16+H16)*(Assumptions!$C$34+Assumptions!$C$35)</f>
        <v>6708</v>
      </c>
      <c r="K16" s="12" t="n">
        <f aca="false">G16+H16+I16+J16</f>
        <v>65298</v>
      </c>
      <c r="L16" s="9" t="s">
        <v>160</v>
      </c>
    </row>
    <row r="17" customFormat="false" ht="15" hidden="false" customHeight="false" outlineLevel="0" collapsed="false">
      <c r="B17" s="7" t="s">
        <v>158</v>
      </c>
      <c r="C17" s="7" t="s">
        <v>161</v>
      </c>
      <c r="D17" s="15" t="n">
        <v>3</v>
      </c>
      <c r="E17" s="18" t="n">
        <v>36000</v>
      </c>
      <c r="F17" s="19" t="n">
        <v>0.025</v>
      </c>
      <c r="G17" s="12" t="n">
        <f aca="false">D17*E17</f>
        <v>108000</v>
      </c>
      <c r="H17" s="12" t="n">
        <f aca="false">G17*F17</f>
        <v>2700</v>
      </c>
      <c r="I17" s="12" t="n">
        <f aca="false">MAX(0,(E17+E17*F17)-Assumptions!$C$33)*Assumptions!$C$32*D17</f>
        <v>14355</v>
      </c>
      <c r="J17" s="12" t="n">
        <f aca="false">(G17+H17)*(Assumptions!$C$34+Assumptions!$C$35)</f>
        <v>14391</v>
      </c>
      <c r="K17" s="12" t="n">
        <f aca="false">G17+H17+I17+J17</f>
        <v>139446</v>
      </c>
      <c r="L17" s="9" t="s">
        <v>162</v>
      </c>
    </row>
    <row r="18" customFormat="false" ht="15" hidden="false" customHeight="false" outlineLevel="0" collapsed="false">
      <c r="B18" s="7" t="s">
        <v>163</v>
      </c>
      <c r="C18" s="7" t="s">
        <v>164</v>
      </c>
      <c r="D18" s="15" t="n">
        <v>1</v>
      </c>
      <c r="E18" s="18" t="n">
        <v>200000</v>
      </c>
      <c r="F18" s="19" t="n">
        <v>0.4</v>
      </c>
      <c r="G18" s="12" t="n">
        <f aca="false">D18*E18</f>
        <v>200000</v>
      </c>
      <c r="H18" s="12" t="n">
        <f aca="false">G18*F18</f>
        <v>80000</v>
      </c>
      <c r="I18" s="12" t="n">
        <f aca="false">MAX(0,(E18+E18*F18)-Assumptions!$C$33)*Assumptions!$C$32*D18</f>
        <v>41250</v>
      </c>
      <c r="J18" s="12" t="n">
        <f aca="false">(G18+H18)*(Assumptions!$C$34+Assumptions!$C$35)</f>
        <v>36400</v>
      </c>
      <c r="K18" s="12" t="n">
        <f aca="false">G18+H18+I18+J18</f>
        <v>357650</v>
      </c>
      <c r="L18" s="9" t="s">
        <v>165</v>
      </c>
    </row>
    <row r="19" customFormat="false" ht="15" hidden="false" customHeight="false" outlineLevel="0" collapsed="false">
      <c r="B19" s="7" t="s">
        <v>163</v>
      </c>
      <c r="C19" s="7" t="s">
        <v>166</v>
      </c>
      <c r="D19" s="15" t="n">
        <v>1</v>
      </c>
      <c r="E19" s="18" t="n">
        <v>140000</v>
      </c>
      <c r="F19" s="19" t="n">
        <v>0.225</v>
      </c>
      <c r="G19" s="12" t="n">
        <f aca="false">D19*E19</f>
        <v>140000</v>
      </c>
      <c r="H19" s="12" t="n">
        <f aca="false">G19*F19</f>
        <v>31500</v>
      </c>
      <c r="I19" s="12" t="n">
        <f aca="false">MAX(0,(E19+E19*F19)-Assumptions!$C$33)*Assumptions!$C$32*D19</f>
        <v>24975</v>
      </c>
      <c r="J19" s="12" t="n">
        <f aca="false">(G19+H19)*(Assumptions!$C$34+Assumptions!$C$35)</f>
        <v>22295</v>
      </c>
      <c r="K19" s="12" t="n">
        <f aca="false">G19+H19+I19+J19</f>
        <v>218770</v>
      </c>
      <c r="L19" s="9" t="s">
        <v>167</v>
      </c>
    </row>
    <row r="20" customFormat="false" ht="15" hidden="false" customHeight="false" outlineLevel="0" collapsed="false">
      <c r="B20" s="7" t="s">
        <v>163</v>
      </c>
      <c r="C20" s="7" t="s">
        <v>168</v>
      </c>
      <c r="D20" s="15" t="n">
        <v>1</v>
      </c>
      <c r="E20" s="18" t="n">
        <v>100000</v>
      </c>
      <c r="F20" s="19" t="n">
        <v>0.225</v>
      </c>
      <c r="G20" s="12" t="n">
        <f aca="false">D20*E20</f>
        <v>100000</v>
      </c>
      <c r="H20" s="12" t="n">
        <f aca="false">G20*F20</f>
        <v>22500</v>
      </c>
      <c r="I20" s="12" t="n">
        <f aca="false">MAX(0,(E20+E20*F20)-Assumptions!$C$33)*Assumptions!$C$32*D20</f>
        <v>17625</v>
      </c>
      <c r="J20" s="12" t="n">
        <f aca="false">(G20+H20)*(Assumptions!$C$34+Assumptions!$C$35)</f>
        <v>15925</v>
      </c>
      <c r="K20" s="12" t="n">
        <f aca="false">G20+H20+I20+J20</f>
        <v>156050</v>
      </c>
      <c r="L20" s="9" t="s">
        <v>169</v>
      </c>
    </row>
    <row r="21" customFormat="false" ht="15" hidden="false" customHeight="false" outlineLevel="0" collapsed="false">
      <c r="B21" s="7" t="s">
        <v>163</v>
      </c>
      <c r="C21" s="7" t="s">
        <v>170</v>
      </c>
      <c r="D21" s="15" t="n">
        <v>1</v>
      </c>
      <c r="E21" s="18" t="n">
        <v>115000</v>
      </c>
      <c r="F21" s="19" t="n">
        <v>0.15</v>
      </c>
      <c r="G21" s="12" t="n">
        <f aca="false">D21*E21</f>
        <v>115000</v>
      </c>
      <c r="H21" s="12" t="n">
        <f aca="false">G21*F21</f>
        <v>17250</v>
      </c>
      <c r="I21" s="12" t="n">
        <f aca="false">MAX(0,(E21+E21*F21)-Assumptions!$C$33)*Assumptions!$C$32*D21</f>
        <v>19087.5</v>
      </c>
      <c r="J21" s="12" t="n">
        <f aca="false">(G21+H21)*(Assumptions!$C$34+Assumptions!$C$35)</f>
        <v>17192.5</v>
      </c>
      <c r="K21" s="12" t="n">
        <f aca="false">G21+H21+I21+J21</f>
        <v>168530</v>
      </c>
      <c r="L21" s="9" t="s">
        <v>171</v>
      </c>
    </row>
    <row r="22" customFormat="false" ht="15" hidden="false" customHeight="false" outlineLevel="0" collapsed="false">
      <c r="B22" s="7" t="s">
        <v>163</v>
      </c>
      <c r="C22" s="7" t="s">
        <v>172</v>
      </c>
      <c r="D22" s="15" t="n">
        <v>1</v>
      </c>
      <c r="E22" s="18" t="n">
        <v>67500</v>
      </c>
      <c r="F22" s="19" t="n">
        <v>0.125</v>
      </c>
      <c r="G22" s="12" t="n">
        <f aca="false">D22*E22</f>
        <v>67500</v>
      </c>
      <c r="H22" s="12" t="n">
        <f aca="false">G22*F22</f>
        <v>8437.5</v>
      </c>
      <c r="I22" s="12" t="n">
        <f aca="false">MAX(0,(E22+E22*F22)-Assumptions!$C$33)*Assumptions!$C$32*D22</f>
        <v>10640.625</v>
      </c>
      <c r="J22" s="12" t="n">
        <f aca="false">(G22+H22)*(Assumptions!$C$34+Assumptions!$C$35)</f>
        <v>9871.875</v>
      </c>
      <c r="K22" s="12" t="n">
        <f aca="false">G22+H22+I22+J22</f>
        <v>96450</v>
      </c>
      <c r="L22" s="9" t="s">
        <v>173</v>
      </c>
    </row>
    <row r="23" customFormat="false" ht="15" hidden="false" customHeight="false" outlineLevel="0" collapsed="false">
      <c r="B23" s="7" t="s">
        <v>174</v>
      </c>
      <c r="C23" s="7" t="s">
        <v>175</v>
      </c>
      <c r="D23" s="15" t="n">
        <v>4</v>
      </c>
      <c r="E23" s="18" t="n">
        <v>65000</v>
      </c>
      <c r="F23" s="19" t="n">
        <v>0.05</v>
      </c>
      <c r="G23" s="12" t="n">
        <f aca="false">D23*E23</f>
        <v>260000</v>
      </c>
      <c r="H23" s="12" t="n">
        <f aca="false">G23*F23</f>
        <v>13000</v>
      </c>
      <c r="I23" s="12" t="n">
        <f aca="false">MAX(0,(E23+E23*F23)-Assumptions!$C$33)*Assumptions!$C$32*D23</f>
        <v>37950</v>
      </c>
      <c r="J23" s="12" t="n">
        <f aca="false">(G23+H23)*(Assumptions!$C$34+Assumptions!$C$35)</f>
        <v>35490</v>
      </c>
      <c r="K23" s="12" t="n">
        <f aca="false">G23+H23+I23+J23</f>
        <v>346440</v>
      </c>
      <c r="L23" s="9" t="s">
        <v>176</v>
      </c>
    </row>
    <row r="24" customFormat="false" ht="15" hidden="false" customHeight="false" outlineLevel="0" collapsed="false">
      <c r="B24" s="22" t="s">
        <v>177</v>
      </c>
      <c r="D24" s="23" t="n">
        <f aca="false">SUM(D6:D23)</f>
        <v>37</v>
      </c>
      <c r="G24" s="24" t="n">
        <f aca="false">SUM(G6:G23)</f>
        <v>2376500</v>
      </c>
      <c r="H24" s="24" t="n">
        <f aca="false">SUM(H6:H23)</f>
        <v>487750</v>
      </c>
      <c r="I24" s="24" t="n">
        <f aca="false">SUM(I6:I23)</f>
        <v>401887.5</v>
      </c>
      <c r="J24" s="24" t="n">
        <f aca="false">SUM(J6:J23)</f>
        <v>372352.5</v>
      </c>
      <c r="K24" s="24" t="n">
        <f aca="false">SUM(K6:K23)</f>
        <v>3638490</v>
      </c>
    </row>
    <row r="26" customFormat="false" ht="15" hidden="false" customHeight="false" outlineLevel="0" collapsed="false">
      <c r="B26" s="7" t="s">
        <v>178</v>
      </c>
      <c r="K26" s="25" t="n">
        <f aca="false">D24*Assumptions!$C$36</f>
        <v>355200</v>
      </c>
    </row>
    <row r="27" customFormat="false" ht="15" hidden="false" customHeight="false" outlineLevel="0" collapsed="false">
      <c r="B27" s="7" t="s">
        <v>179</v>
      </c>
      <c r="K27" s="25" t="n">
        <f aca="false">D24*Assumptions!$C$37</f>
        <v>111000</v>
      </c>
    </row>
    <row r="28" customFormat="false" ht="15" hidden="false" customHeight="false" outlineLevel="0" collapsed="false">
      <c r="B28" s="7" t="s">
        <v>180</v>
      </c>
      <c r="K28" s="25" t="n">
        <f aca="false">Assumptions!$C$15*Assumptions!$C$40</f>
        <v>36200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10" min="7" style="0" width="14"/>
    <col collapsed="false" customWidth="true" hidden="false" outlineLevel="0" max="11" min="11" style="0" width="16"/>
    <col collapsed="false" customWidth="true" hidden="false" outlineLevel="0" max="12" min="12" style="0" width="40"/>
  </cols>
  <sheetData>
    <row r="2" customFormat="false" ht="17.35" hidden="false" customHeight="false" outlineLevel="0" collapsed="false">
      <c r="B2" s="1" t="s">
        <v>181</v>
      </c>
    </row>
    <row r="3" customFormat="false" ht="15" hidden="false" customHeight="false" outlineLevel="0" collapsed="false">
      <c r="B3" s="9" t="s">
        <v>182</v>
      </c>
    </row>
    <row r="5" customFormat="false" ht="26.85" hidden="false" customHeight="false" outlineLevel="0" collapsed="false"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  <c r="G5" s="4" t="s">
        <v>129</v>
      </c>
      <c r="H5" s="4" t="s">
        <v>130</v>
      </c>
      <c r="I5" s="4" t="s">
        <v>131</v>
      </c>
      <c r="J5" s="4" t="s">
        <v>132</v>
      </c>
      <c r="K5" s="4" t="s">
        <v>133</v>
      </c>
      <c r="L5" s="4" t="s">
        <v>134</v>
      </c>
    </row>
    <row r="6" customFormat="false" ht="15" hidden="false" customHeight="false" outlineLevel="0" collapsed="false">
      <c r="B6" s="7" t="s">
        <v>183</v>
      </c>
      <c r="C6" s="7" t="s">
        <v>184</v>
      </c>
      <c r="D6" s="15" t="n">
        <v>1</v>
      </c>
      <c r="E6" s="18" t="n">
        <v>100000</v>
      </c>
      <c r="F6" s="19" t="n">
        <v>0</v>
      </c>
      <c r="G6" s="12" t="n">
        <f aca="false">D6*E6</f>
        <v>100000</v>
      </c>
      <c r="H6" s="12" t="n">
        <f aca="false">G6*F6</f>
        <v>0</v>
      </c>
      <c r="I6" s="12" t="n">
        <f aca="false">MAX(0,(E6+E6*F6)-Assumptions!$C$33)*Assumptions!$C$32*D6</f>
        <v>14250</v>
      </c>
      <c r="J6" s="12" t="n">
        <f aca="false">(G6+H6)*(Assumptions!$C$34+Assumptions!$C$35)</f>
        <v>13000</v>
      </c>
      <c r="K6" s="12" t="n">
        <f aca="false">G6+H6+I6+J6</f>
        <v>127250</v>
      </c>
      <c r="L6" s="9" t="s">
        <v>185</v>
      </c>
    </row>
    <row r="7" customFormat="false" ht="15" hidden="false" customHeight="false" outlineLevel="0" collapsed="false">
      <c r="B7" s="7" t="s">
        <v>183</v>
      </c>
      <c r="C7" s="7" t="s">
        <v>186</v>
      </c>
      <c r="D7" s="15" t="n">
        <v>1</v>
      </c>
      <c r="E7" s="18" t="n">
        <v>100000</v>
      </c>
      <c r="F7" s="19" t="n">
        <v>0</v>
      </c>
      <c r="G7" s="12" t="n">
        <f aca="false">D7*E7</f>
        <v>100000</v>
      </c>
      <c r="H7" s="12" t="n">
        <f aca="false">G7*F7</f>
        <v>0</v>
      </c>
      <c r="I7" s="12" t="n">
        <f aca="false">MAX(0,(E7+E7*F7)-Assumptions!$C$33)*Assumptions!$C$32*D7</f>
        <v>14250</v>
      </c>
      <c r="J7" s="12" t="n">
        <f aca="false">(G7+H7)*(Assumptions!$C$34+Assumptions!$C$35)</f>
        <v>13000</v>
      </c>
      <c r="K7" s="12" t="n">
        <f aca="false">G7+H7+I7+J7</f>
        <v>127250</v>
      </c>
      <c r="L7" s="9" t="s">
        <v>185</v>
      </c>
    </row>
    <row r="8" customFormat="false" ht="15" hidden="false" customHeight="false" outlineLevel="0" collapsed="false">
      <c r="B8" s="7" t="s">
        <v>135</v>
      </c>
      <c r="C8" s="7" t="s">
        <v>187</v>
      </c>
      <c r="D8" s="15" t="n">
        <v>2</v>
      </c>
      <c r="E8" s="18" t="n">
        <v>65000</v>
      </c>
      <c r="F8" s="19" t="n">
        <v>0.15</v>
      </c>
      <c r="G8" s="12" t="n">
        <f aca="false">D8*E8</f>
        <v>130000</v>
      </c>
      <c r="H8" s="12" t="n">
        <f aca="false">G8*F8</f>
        <v>19500</v>
      </c>
      <c r="I8" s="12" t="n">
        <f aca="false">MAX(0,(E8+E8*F8)-Assumptions!$C$33)*Assumptions!$C$32*D8</f>
        <v>20925</v>
      </c>
      <c r="J8" s="12" t="n">
        <f aca="false">(G8+H8)*(Assumptions!$C$34+Assumptions!$C$35)</f>
        <v>19435</v>
      </c>
      <c r="K8" s="12" t="n">
        <f aca="false">G8+H8+I8+J8</f>
        <v>189860</v>
      </c>
      <c r="L8" s="9" t="s">
        <v>188</v>
      </c>
    </row>
    <row r="9" customFormat="false" ht="15" hidden="false" customHeight="false" outlineLevel="0" collapsed="false">
      <c r="B9" s="7" t="s">
        <v>189</v>
      </c>
      <c r="C9" s="7" t="s">
        <v>190</v>
      </c>
      <c r="D9" s="15" t="n">
        <v>1</v>
      </c>
      <c r="E9" s="18" t="n">
        <v>42500</v>
      </c>
      <c r="F9" s="19" t="n">
        <v>0.05</v>
      </c>
      <c r="G9" s="12" t="n">
        <f aca="false">D9*E9</f>
        <v>42500</v>
      </c>
      <c r="H9" s="12" t="n">
        <f aca="false">G9*F9</f>
        <v>2125</v>
      </c>
      <c r="I9" s="12" t="n">
        <f aca="false">MAX(0,(E9+E9*F9)-Assumptions!$C$33)*Assumptions!$C$32*D9</f>
        <v>5943.75</v>
      </c>
      <c r="J9" s="12" t="n">
        <f aca="false">(G9+H9)*(Assumptions!$C$34+Assumptions!$C$35)</f>
        <v>5801.25</v>
      </c>
      <c r="K9" s="12" t="n">
        <f aca="false">G9+H9+I9+J9</f>
        <v>56370</v>
      </c>
      <c r="L9" s="9" t="s">
        <v>191</v>
      </c>
    </row>
    <row r="10" customFormat="false" ht="15" hidden="false" customHeight="false" outlineLevel="0" collapsed="false">
      <c r="B10" s="7" t="s">
        <v>192</v>
      </c>
      <c r="C10" s="7" t="s">
        <v>172</v>
      </c>
      <c r="D10" s="15" t="n">
        <v>1</v>
      </c>
      <c r="E10" s="18" t="n">
        <v>67500</v>
      </c>
      <c r="F10" s="19" t="n">
        <v>0.125</v>
      </c>
      <c r="G10" s="12" t="n">
        <f aca="false">D10*E10</f>
        <v>67500</v>
      </c>
      <c r="H10" s="12" t="n">
        <f aca="false">G10*F10</f>
        <v>8437.5</v>
      </c>
      <c r="I10" s="12" t="n">
        <f aca="false">MAX(0,(E10+E10*F10)-Assumptions!$C$33)*Assumptions!$C$32*D10</f>
        <v>10640.625</v>
      </c>
      <c r="J10" s="12" t="n">
        <f aca="false">(G10+H10)*(Assumptions!$C$34+Assumptions!$C$35)</f>
        <v>9871.875</v>
      </c>
      <c r="K10" s="12" t="n">
        <f aca="false">G10+H10+I10+J10</f>
        <v>96450</v>
      </c>
      <c r="L10" s="9" t="s">
        <v>193</v>
      </c>
    </row>
    <row r="11" customFormat="false" ht="15" hidden="false" customHeight="false" outlineLevel="0" collapsed="false">
      <c r="B11" s="7" t="s">
        <v>151</v>
      </c>
      <c r="C11" s="7" t="s">
        <v>194</v>
      </c>
      <c r="D11" s="15" t="n">
        <v>1</v>
      </c>
      <c r="E11" s="18" t="n">
        <v>65000</v>
      </c>
      <c r="F11" s="19" t="n">
        <v>0.4</v>
      </c>
      <c r="G11" s="12" t="n">
        <f aca="false">D11*E11</f>
        <v>65000</v>
      </c>
      <c r="H11" s="12" t="n">
        <f aca="false">G11*F11</f>
        <v>26000</v>
      </c>
      <c r="I11" s="12" t="n">
        <f aca="false">MAX(0,(E11+E11*F11)-Assumptions!$C$33)*Assumptions!$C$32*D11</f>
        <v>12900</v>
      </c>
      <c r="J11" s="12" t="n">
        <f aca="false">(G11+H11)*(Assumptions!$C$34+Assumptions!$C$35)</f>
        <v>11830</v>
      </c>
      <c r="K11" s="12" t="n">
        <f aca="false">G11+H11+I11+J11</f>
        <v>115730</v>
      </c>
      <c r="L11" s="9" t="s">
        <v>195</v>
      </c>
    </row>
    <row r="12" customFormat="false" ht="15" hidden="false" customHeight="false" outlineLevel="0" collapsed="false">
      <c r="B12" s="7" t="s">
        <v>174</v>
      </c>
      <c r="C12" s="7" t="s">
        <v>196</v>
      </c>
      <c r="D12" s="15" t="n">
        <v>1</v>
      </c>
      <c r="E12" s="18" t="n">
        <v>65000</v>
      </c>
      <c r="F12" s="19" t="n">
        <v>0.05</v>
      </c>
      <c r="G12" s="12" t="n">
        <f aca="false">D12*E12</f>
        <v>65000</v>
      </c>
      <c r="H12" s="12" t="n">
        <f aca="false">G12*F12</f>
        <v>3250</v>
      </c>
      <c r="I12" s="12" t="n">
        <f aca="false">MAX(0,(E12+E12*F12)-Assumptions!$C$33)*Assumptions!$C$32*D12</f>
        <v>9487.5</v>
      </c>
      <c r="J12" s="12" t="n">
        <f aca="false">(G12+H12)*(Assumptions!$C$34+Assumptions!$C$35)</f>
        <v>8872.5</v>
      </c>
      <c r="K12" s="12" t="n">
        <f aca="false">G12+H12+I12+J12</f>
        <v>86610</v>
      </c>
      <c r="L12" s="9" t="s">
        <v>197</v>
      </c>
    </row>
    <row r="13" customFormat="false" ht="15" hidden="false" customHeight="false" outlineLevel="0" collapsed="false">
      <c r="B13" s="22" t="s">
        <v>177</v>
      </c>
      <c r="D13" s="23" t="n">
        <f aca="false">SUM(D6:D12)</f>
        <v>8</v>
      </c>
      <c r="G13" s="24" t="n">
        <f aca="false">SUM(G6:G12)</f>
        <v>570000</v>
      </c>
      <c r="H13" s="24" t="n">
        <f aca="false">SUM(H6:H12)</f>
        <v>59312.5</v>
      </c>
      <c r="I13" s="24" t="n">
        <f aca="false">SUM(I6:I12)</f>
        <v>88396.875</v>
      </c>
      <c r="J13" s="24" t="n">
        <f aca="false">SUM(J6:J12)</f>
        <v>81810.625</v>
      </c>
      <c r="K13" s="24" t="n">
        <f aca="false">SUM(K6:K12)</f>
        <v>799520</v>
      </c>
    </row>
    <row r="15" customFormat="false" ht="15" hidden="false" customHeight="false" outlineLevel="0" collapsed="false">
      <c r="B15" s="7" t="s">
        <v>178</v>
      </c>
      <c r="K15" s="25" t="n">
        <f aca="false">D13*Assumptions!$C$36</f>
        <v>76800</v>
      </c>
    </row>
    <row r="16" customFormat="false" ht="15" hidden="false" customHeight="false" outlineLevel="0" collapsed="false">
      <c r="B16" s="7" t="s">
        <v>179</v>
      </c>
      <c r="K16" s="25" t="n">
        <f aca="false">D13*Assumptions!$C$37</f>
        <v>24000</v>
      </c>
    </row>
    <row r="17" customFormat="false" ht="15" hidden="false" customHeight="false" outlineLevel="0" collapsed="false">
      <c r="B17" s="7" t="s">
        <v>198</v>
      </c>
      <c r="K17" s="25" t="n">
        <f aca="false">Assumptions!$C$15*Assumptions!$C$39</f>
        <v>11584</v>
      </c>
    </row>
    <row r="18" customFormat="false" ht="15" hidden="false" customHeight="false" outlineLevel="0" collapsed="false">
      <c r="B18" s="7" t="s">
        <v>180</v>
      </c>
      <c r="K18" s="25" t="n">
        <f aca="false">Assumptions!$C$15*Assumptions!$C$40</f>
        <v>36200</v>
      </c>
    </row>
    <row r="19" customFormat="false" ht="15" hidden="false" customHeight="false" outlineLevel="0" collapsed="false">
      <c r="B19" s="7" t="s">
        <v>199</v>
      </c>
      <c r="K19" s="25" t="n">
        <f aca="false">Assumptions!$C$41</f>
        <v>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7" min="4" style="0" width="12"/>
    <col collapsed="false" customWidth="true" hidden="false" outlineLevel="0" max="9" min="8" style="0" width="60"/>
  </cols>
  <sheetData>
    <row r="2" customFormat="false" ht="17.35" hidden="false" customHeight="false" outlineLevel="0" collapsed="false">
      <c r="B2" s="1" t="s">
        <v>200</v>
      </c>
    </row>
    <row r="3" customFormat="false" ht="15" hidden="false" customHeight="false" outlineLevel="0" collapsed="false">
      <c r="B3" s="9" t="s">
        <v>201</v>
      </c>
    </row>
    <row r="5" customFormat="false" ht="15" hidden="false" customHeight="false" outlineLevel="0" collapsed="false">
      <c r="B5" s="4" t="s">
        <v>125</v>
      </c>
      <c r="C5" s="4" t="s">
        <v>202</v>
      </c>
      <c r="D5" s="4" t="s">
        <v>203</v>
      </c>
      <c r="E5" s="4" t="s">
        <v>204</v>
      </c>
      <c r="F5" s="4" t="s">
        <v>205</v>
      </c>
      <c r="G5" s="4" t="s">
        <v>206</v>
      </c>
      <c r="H5" s="4" t="s">
        <v>207</v>
      </c>
    </row>
    <row r="6" customFormat="false" ht="15" hidden="false" customHeight="false" outlineLevel="0" collapsed="false">
      <c r="B6" s="7" t="s">
        <v>208</v>
      </c>
      <c r="C6" s="9" t="s">
        <v>209</v>
      </c>
      <c r="D6" s="12" t="n">
        <v>30000</v>
      </c>
      <c r="E6" s="12" t="n">
        <v>37500</v>
      </c>
      <c r="F6" s="12" t="n">
        <v>45000</v>
      </c>
      <c r="G6" s="18" t="n">
        <v>35000</v>
      </c>
      <c r="H6" s="17" t="n">
        <v>0.05</v>
      </c>
      <c r="I6" s="9" t="s">
        <v>210</v>
      </c>
    </row>
    <row r="7" customFormat="false" ht="15" hidden="false" customHeight="false" outlineLevel="0" collapsed="false">
      <c r="B7" s="7" t="s">
        <v>208</v>
      </c>
      <c r="C7" s="9" t="s">
        <v>204</v>
      </c>
      <c r="D7" s="12" t="n">
        <v>45000</v>
      </c>
      <c r="E7" s="12" t="n">
        <v>55000</v>
      </c>
      <c r="F7" s="12" t="n">
        <v>65000</v>
      </c>
      <c r="G7" s="18" t="n">
        <v>50000</v>
      </c>
      <c r="H7" s="17" t="n">
        <v>0.15</v>
      </c>
      <c r="I7" s="9" t="s">
        <v>211</v>
      </c>
    </row>
    <row r="8" customFormat="false" ht="15" hidden="false" customHeight="false" outlineLevel="0" collapsed="false">
      <c r="B8" s="7" t="s">
        <v>208</v>
      </c>
      <c r="C8" s="9" t="s">
        <v>212</v>
      </c>
      <c r="D8" s="12" t="n">
        <v>65000</v>
      </c>
      <c r="E8" s="12" t="n">
        <v>75000</v>
      </c>
      <c r="F8" s="12" t="n">
        <v>85000</v>
      </c>
      <c r="G8" s="18" t="n">
        <v>65000</v>
      </c>
      <c r="H8" s="17" t="n">
        <v>0.15</v>
      </c>
      <c r="I8" s="9" t="s">
        <v>213</v>
      </c>
    </row>
    <row r="9" customFormat="false" ht="15" hidden="false" customHeight="false" outlineLevel="0" collapsed="false">
      <c r="B9" s="7" t="s">
        <v>214</v>
      </c>
      <c r="C9" s="9" t="s">
        <v>215</v>
      </c>
      <c r="D9" s="12" t="n">
        <v>65000</v>
      </c>
      <c r="E9" s="12" t="n">
        <v>72500</v>
      </c>
      <c r="F9" s="12" t="n">
        <v>85000</v>
      </c>
      <c r="G9" s="9" t="s">
        <v>216</v>
      </c>
      <c r="H9" s="17" t="n">
        <v>0.15</v>
      </c>
      <c r="I9" s="9" t="s">
        <v>217</v>
      </c>
    </row>
    <row r="10" customFormat="false" ht="15" hidden="false" customHeight="false" outlineLevel="0" collapsed="false">
      <c r="B10" s="7" t="s">
        <v>218</v>
      </c>
      <c r="C10" s="9" t="s">
        <v>219</v>
      </c>
      <c r="D10" s="12" t="n">
        <v>100000</v>
      </c>
      <c r="E10" s="12" t="n">
        <v>115000</v>
      </c>
      <c r="F10" s="12" t="n">
        <v>130000</v>
      </c>
      <c r="G10" s="18" t="n">
        <v>115000</v>
      </c>
      <c r="H10" s="17" t="n">
        <v>0.25</v>
      </c>
      <c r="I10" s="9" t="s">
        <v>220</v>
      </c>
    </row>
    <row r="11" customFormat="false" ht="15" hidden="false" customHeight="false" outlineLevel="0" collapsed="false">
      <c r="B11" s="7" t="s">
        <v>221</v>
      </c>
      <c r="C11" s="9" t="s">
        <v>222</v>
      </c>
      <c r="D11" s="12" t="n">
        <v>30000</v>
      </c>
      <c r="E11" s="12" t="n">
        <v>35000</v>
      </c>
      <c r="F11" s="12" t="n">
        <v>40000</v>
      </c>
      <c r="G11" s="9" t="s">
        <v>216</v>
      </c>
      <c r="H11" s="17" t="n">
        <v>0.05</v>
      </c>
      <c r="I11" s="9" t="s">
        <v>223</v>
      </c>
    </row>
    <row r="12" customFormat="false" ht="15" hidden="false" customHeight="false" outlineLevel="0" collapsed="false">
      <c r="B12" s="7" t="s">
        <v>224</v>
      </c>
      <c r="C12" s="9" t="s">
        <v>204</v>
      </c>
      <c r="D12" s="12" t="n">
        <v>35000</v>
      </c>
      <c r="E12" s="12" t="n">
        <v>42500</v>
      </c>
      <c r="F12" s="12" t="n">
        <v>50000</v>
      </c>
      <c r="G12" s="18" t="n">
        <v>42500</v>
      </c>
      <c r="H12" s="17" t="n">
        <v>0.05</v>
      </c>
      <c r="I12" s="9" t="s">
        <v>225</v>
      </c>
    </row>
    <row r="13" customFormat="false" ht="15" hidden="false" customHeight="false" outlineLevel="0" collapsed="false">
      <c r="B13" s="7" t="s">
        <v>149</v>
      </c>
      <c r="C13" s="9" t="s">
        <v>209</v>
      </c>
      <c r="D13" s="12" t="n">
        <v>26000</v>
      </c>
      <c r="E13" s="12" t="n">
        <v>32000</v>
      </c>
      <c r="F13" s="12" t="n">
        <v>38000</v>
      </c>
      <c r="G13" s="18" t="n">
        <v>32000</v>
      </c>
      <c r="H13" s="17" t="n">
        <v>0.025</v>
      </c>
      <c r="I13" s="9" t="s">
        <v>226</v>
      </c>
    </row>
    <row r="14" customFormat="false" ht="15" hidden="false" customHeight="false" outlineLevel="0" collapsed="false">
      <c r="B14" s="7" t="s">
        <v>145</v>
      </c>
      <c r="C14" s="9" t="s">
        <v>227</v>
      </c>
      <c r="D14" s="12" t="n">
        <v>50000</v>
      </c>
      <c r="E14" s="12" t="n">
        <v>57500</v>
      </c>
      <c r="F14" s="12" t="n">
        <v>65000</v>
      </c>
      <c r="G14" s="18" t="n">
        <v>57500</v>
      </c>
      <c r="H14" s="17" t="n">
        <v>0.125</v>
      </c>
      <c r="I14" s="9" t="s">
        <v>228</v>
      </c>
    </row>
    <row r="15" customFormat="false" ht="15" hidden="false" customHeight="false" outlineLevel="0" collapsed="false">
      <c r="B15" s="7" t="s">
        <v>156</v>
      </c>
      <c r="C15" s="9" t="s">
        <v>204</v>
      </c>
      <c r="D15" s="12" t="n">
        <v>55000</v>
      </c>
      <c r="E15" s="12" t="n">
        <v>65000</v>
      </c>
      <c r="F15" s="12" t="n">
        <v>80000</v>
      </c>
      <c r="G15" s="18" t="n">
        <v>65000</v>
      </c>
      <c r="H15" s="17" t="n">
        <v>0.4</v>
      </c>
      <c r="I15" s="9" t="s">
        <v>229</v>
      </c>
    </row>
    <row r="16" customFormat="false" ht="15" hidden="false" customHeight="false" outlineLevel="0" collapsed="false">
      <c r="B16" s="7" t="s">
        <v>154</v>
      </c>
      <c r="C16" s="9" t="s">
        <v>212</v>
      </c>
      <c r="D16" s="12" t="n">
        <v>75000</v>
      </c>
      <c r="E16" s="12" t="n">
        <v>85000</v>
      </c>
      <c r="F16" s="12" t="n">
        <v>90000</v>
      </c>
      <c r="G16" s="18" t="n">
        <v>85000</v>
      </c>
      <c r="H16" s="17" t="n">
        <v>0.6</v>
      </c>
      <c r="I16" s="9" t="s">
        <v>230</v>
      </c>
    </row>
    <row r="17" customFormat="false" ht="15" hidden="false" customHeight="false" outlineLevel="0" collapsed="false">
      <c r="B17" s="7" t="s">
        <v>231</v>
      </c>
      <c r="C17" s="9" t="s">
        <v>219</v>
      </c>
      <c r="D17" s="12" t="n">
        <v>90000</v>
      </c>
      <c r="E17" s="12" t="n">
        <v>110000</v>
      </c>
      <c r="F17" s="12" t="n">
        <v>130000</v>
      </c>
      <c r="G17" s="18" t="n">
        <v>110000</v>
      </c>
      <c r="H17" s="17" t="n">
        <v>0.35</v>
      </c>
      <c r="I17" s="9" t="s">
        <v>232</v>
      </c>
    </row>
    <row r="18" customFormat="false" ht="15" hidden="false" customHeight="false" outlineLevel="0" collapsed="false">
      <c r="B18" s="7" t="s">
        <v>161</v>
      </c>
      <c r="C18" s="9" t="s">
        <v>222</v>
      </c>
      <c r="D18" s="12" t="n">
        <v>30000</v>
      </c>
      <c r="E18" s="12" t="n">
        <v>36000</v>
      </c>
      <c r="F18" s="12" t="n">
        <v>43000</v>
      </c>
      <c r="G18" s="18" t="n">
        <v>36000</v>
      </c>
      <c r="H18" s="17" t="n">
        <v>0.025</v>
      </c>
      <c r="I18" s="9" t="s">
        <v>233</v>
      </c>
    </row>
    <row r="19" customFormat="false" ht="15" hidden="false" customHeight="false" outlineLevel="0" collapsed="false">
      <c r="B19" s="7" t="s">
        <v>159</v>
      </c>
      <c r="C19" s="9" t="s">
        <v>215</v>
      </c>
      <c r="D19" s="12" t="n">
        <v>41000</v>
      </c>
      <c r="E19" s="12" t="n">
        <v>48000</v>
      </c>
      <c r="F19" s="12" t="n">
        <v>57000</v>
      </c>
      <c r="G19" s="18" t="n">
        <v>48000</v>
      </c>
      <c r="H19" s="17" t="n">
        <v>0.075</v>
      </c>
      <c r="I19" s="9" t="s">
        <v>233</v>
      </c>
    </row>
    <row r="20" customFormat="false" ht="15" hidden="false" customHeight="false" outlineLevel="0" collapsed="false">
      <c r="B20" s="7" t="s">
        <v>234</v>
      </c>
      <c r="C20" s="9" t="s">
        <v>235</v>
      </c>
      <c r="D20" s="12" t="n">
        <v>150000</v>
      </c>
      <c r="E20" s="12" t="n">
        <v>200000</v>
      </c>
      <c r="F20" s="12" t="n">
        <v>250000</v>
      </c>
      <c r="G20" s="18" t="n">
        <v>200000</v>
      </c>
      <c r="H20" s="17" t="n">
        <v>0.4</v>
      </c>
      <c r="I20" s="9" t="s">
        <v>236</v>
      </c>
    </row>
    <row r="21" customFormat="false" ht="15" hidden="false" customHeight="false" outlineLevel="0" collapsed="false">
      <c r="B21" s="7" t="s">
        <v>237</v>
      </c>
      <c r="C21" s="9" t="s">
        <v>235</v>
      </c>
      <c r="D21" s="12" t="n">
        <v>110000</v>
      </c>
      <c r="E21" s="12" t="n">
        <v>140000</v>
      </c>
      <c r="F21" s="12" t="n">
        <v>170000</v>
      </c>
      <c r="G21" s="18" t="n">
        <v>140000</v>
      </c>
      <c r="H21" s="17" t="n">
        <v>0.225</v>
      </c>
      <c r="I21" s="9" t="s">
        <v>238</v>
      </c>
    </row>
    <row r="22" customFormat="false" ht="15" hidden="false" customHeight="false" outlineLevel="0" collapsed="false">
      <c r="B22" s="7" t="s">
        <v>239</v>
      </c>
      <c r="C22" s="9" t="s">
        <v>219</v>
      </c>
      <c r="D22" s="12" t="n">
        <v>90000</v>
      </c>
      <c r="E22" s="12" t="n">
        <v>115000</v>
      </c>
      <c r="F22" s="12" t="n">
        <v>140000</v>
      </c>
      <c r="G22" s="18" t="n">
        <v>115000</v>
      </c>
      <c r="H22" s="17" t="n">
        <v>0.15</v>
      </c>
      <c r="I22" s="9" t="s">
        <v>240</v>
      </c>
    </row>
    <row r="23" customFormat="false" ht="15" hidden="false" customHeight="false" outlineLevel="0" collapsed="false">
      <c r="B23" s="7" t="s">
        <v>241</v>
      </c>
      <c r="C23" s="9" t="s">
        <v>242</v>
      </c>
      <c r="D23" s="12" t="n">
        <v>80000</v>
      </c>
      <c r="E23" s="12" t="n">
        <v>100000</v>
      </c>
      <c r="F23" s="12" t="n">
        <v>120000</v>
      </c>
      <c r="G23" s="18" t="n">
        <v>100000</v>
      </c>
      <c r="H23" s="17" t="n">
        <v>0.225</v>
      </c>
      <c r="I23" s="9" t="s">
        <v>243</v>
      </c>
    </row>
    <row r="24" customFormat="false" ht="15" hidden="false" customHeight="false" outlineLevel="0" collapsed="false">
      <c r="B24" s="7" t="s">
        <v>175</v>
      </c>
      <c r="C24" s="9" t="s">
        <v>204</v>
      </c>
      <c r="D24" s="12" t="n">
        <v>50000</v>
      </c>
      <c r="E24" s="12" t="n">
        <v>65000</v>
      </c>
      <c r="F24" s="12" t="n">
        <v>80000</v>
      </c>
      <c r="G24" s="18" t="n">
        <v>65000</v>
      </c>
      <c r="H24" s="17" t="n">
        <v>0.05</v>
      </c>
      <c r="I24" s="9" t="s">
        <v>233</v>
      </c>
    </row>
    <row r="25" customFormat="false" ht="15" hidden="false" customHeight="false" outlineLevel="0" collapsed="false">
      <c r="B25" s="7" t="s">
        <v>244</v>
      </c>
      <c r="C25" s="9" t="s">
        <v>227</v>
      </c>
      <c r="D25" s="12" t="n">
        <v>60000</v>
      </c>
      <c r="E25" s="12" t="n">
        <v>67500</v>
      </c>
      <c r="F25" s="12" t="n">
        <v>75000</v>
      </c>
      <c r="G25" s="18" t="n">
        <v>67500</v>
      </c>
      <c r="H25" s="17" t="n">
        <v>0.125</v>
      </c>
      <c r="I25" s="9" t="s">
        <v>245</v>
      </c>
    </row>
    <row r="27" customFormat="false" ht="15" hidden="false" customHeight="false" outlineLevel="0" collapsed="false">
      <c r="B27" s="9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247</v>
      </c>
    </row>
    <row r="4" customFormat="false" ht="15" hidden="false" customHeight="false" outlineLevel="0" collapsed="false">
      <c r="B4" s="4" t="s">
        <v>248</v>
      </c>
      <c r="C4" s="4" t="s">
        <v>249</v>
      </c>
      <c r="D4" s="4" t="s">
        <v>250</v>
      </c>
    </row>
    <row r="5" customFormat="false" ht="15" hidden="false" customHeight="false" outlineLevel="0" collapsed="false">
      <c r="B5" s="7" t="s">
        <v>251</v>
      </c>
      <c r="C5" s="25" t="n">
        <f aca="false">Assumptions!$C$13</f>
        <v>150230000</v>
      </c>
      <c r="D5" s="9" t="s">
        <v>252</v>
      </c>
    </row>
    <row r="6" customFormat="false" ht="15" hidden="false" customHeight="false" outlineLevel="0" collapsed="false">
      <c r="B6" s="7" t="s">
        <v>253</v>
      </c>
      <c r="C6" s="25" t="n">
        <f aca="false">Assumptions!$C$6</f>
        <v>150000000</v>
      </c>
      <c r="D6" s="9"/>
    </row>
    <row r="8" customFormat="false" ht="15" hidden="false" customHeight="false" outlineLevel="0" collapsed="false">
      <c r="B8" s="7" t="s">
        <v>254</v>
      </c>
      <c r="C8" s="12" t="n">
        <f aca="false">C5*Assumptions!$C$19</f>
        <v>3004600</v>
      </c>
      <c r="D8" s="9" t="s">
        <v>255</v>
      </c>
    </row>
    <row r="9" customFormat="false" ht="15" hidden="false" customHeight="false" outlineLevel="0" collapsed="false">
      <c r="B9" s="7" t="s">
        <v>256</v>
      </c>
      <c r="C9" s="12" t="n">
        <f aca="false">-C5*(Assumptions!$C$19-Assumptions!$C$20)*Assumptions!$C$25</f>
        <v>-1915432.5</v>
      </c>
      <c r="D9" s="9" t="s">
        <v>257</v>
      </c>
    </row>
    <row r="10" customFormat="false" ht="15" hidden="false" customHeight="false" outlineLevel="0" collapsed="false">
      <c r="B10" s="7" t="s">
        <v>258</v>
      </c>
      <c r="C10" s="12" t="n">
        <f aca="false">C6*Assumptions!$C$18</f>
        <v>16200000</v>
      </c>
      <c r="D10" s="9" t="s">
        <v>259</v>
      </c>
    </row>
    <row r="11" customFormat="false" ht="15" hidden="false" customHeight="false" outlineLevel="0" collapsed="false">
      <c r="B11" s="7" t="s">
        <v>260</v>
      </c>
      <c r="C11" s="25" t="n">
        <f aca="false">Assumptions!$C$12*(Assumptions!$C$21+Assumptions!$C$22)</f>
        <v>543000</v>
      </c>
      <c r="D11" s="9" t="s">
        <v>261</v>
      </c>
    </row>
    <row r="12" customFormat="false" ht="15" hidden="false" customHeight="false" outlineLevel="0" collapsed="false">
      <c r="B12" s="7" t="s">
        <v>262</v>
      </c>
      <c r="C12" s="12" t="n">
        <f aca="false">C5*Assumptions!$C$23</f>
        <v>0</v>
      </c>
      <c r="D12" s="9" t="s">
        <v>263</v>
      </c>
    </row>
    <row r="13" customFormat="false" ht="15" hidden="false" customHeight="false" outlineLevel="0" collapsed="false">
      <c r="B13" s="7" t="s">
        <v>264</v>
      </c>
      <c r="C13" s="12" t="n">
        <f aca="false">C5*Assumptions!$C$24</f>
        <v>300460</v>
      </c>
      <c r="D13" s="9" t="s">
        <v>265</v>
      </c>
    </row>
    <row r="14" customFormat="false" ht="15" hidden="false" customHeight="false" outlineLevel="0" collapsed="false">
      <c r="B14" s="7" t="s">
        <v>266</v>
      </c>
      <c r="C14" s="12" t="n">
        <f aca="false">SUM(C8:C13)</f>
        <v>18132627.5</v>
      </c>
      <c r="D14" s="9"/>
    </row>
    <row r="16" customFormat="false" ht="15" hidden="false" customHeight="false" outlineLevel="0" collapsed="false">
      <c r="B16" s="7" t="s">
        <v>267</v>
      </c>
      <c r="C16" s="12" t="n">
        <f aca="false">-C6*Assumptions!$C$28*Assumptions!$C$27</f>
        <v>-12468750</v>
      </c>
      <c r="D16" s="9" t="s">
        <v>268</v>
      </c>
    </row>
    <row r="17" customFormat="false" ht="15" hidden="false" customHeight="false" outlineLevel="0" collapsed="false">
      <c r="B17" s="7" t="s">
        <v>269</v>
      </c>
      <c r="C17" s="12" t="n">
        <f aca="false">-Assumptions!$C$12*Assumptions!$C$29</f>
        <v>-90500</v>
      </c>
      <c r="D17" s="9" t="s">
        <v>270</v>
      </c>
    </row>
    <row r="18" customFormat="false" ht="15" hidden="false" customHeight="false" outlineLevel="0" collapsed="false">
      <c r="B18" s="7" t="s">
        <v>271</v>
      </c>
      <c r="C18" s="12" t="n">
        <f aca="false">-C6*Assumptions!$C$30</f>
        <v>-750000</v>
      </c>
      <c r="D18" s="9" t="s">
        <v>272</v>
      </c>
    </row>
    <row r="19" customFormat="false" ht="15" hidden="false" customHeight="false" outlineLevel="0" collapsed="false">
      <c r="B19" s="7" t="s">
        <v>273</v>
      </c>
      <c r="C19" s="12" t="n">
        <f aca="false">C14+SUM(C16:C18)</f>
        <v>4823377.5</v>
      </c>
      <c r="D19" s="9" t="s">
        <v>274</v>
      </c>
    </row>
    <row r="21" customFormat="false" ht="15" hidden="false" customHeight="false" outlineLevel="0" collapsed="false">
      <c r="B21" s="7" t="s">
        <v>275</v>
      </c>
      <c r="C21" s="17" t="n">
        <f aca="false">C19/C6</f>
        <v>0.03215585</v>
      </c>
      <c r="D21" s="9"/>
    </row>
    <row r="22" customFormat="false" ht="15" hidden="false" customHeight="false" outlineLevel="0" collapsed="false">
      <c r="B22" s="7" t="s">
        <v>276</v>
      </c>
      <c r="C22" s="12" t="n">
        <f aca="false">C19/Assumptions!$C$12</f>
        <v>26648.4944751381</v>
      </c>
      <c r="D22" s="9"/>
    </row>
    <row r="23" customFormat="false" ht="15" hidden="false" customHeight="false" outlineLevel="0" collapsed="false">
      <c r="B23" s="7" t="s">
        <v>277</v>
      </c>
      <c r="C23" s="17" t="n">
        <f aca="false">(C10+C16)/C6</f>
        <v>0.024875</v>
      </c>
      <c r="D23" s="9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50"/>
  </cols>
  <sheetData>
    <row r="2" customFormat="false" ht="17.35" hidden="false" customHeight="false" outlineLevel="0" collapsed="false">
      <c r="B2" s="1" t="s">
        <v>279</v>
      </c>
    </row>
    <row r="4" customFormat="false" ht="39.55" hidden="false" customHeight="false" outlineLevel="0" collapsed="false">
      <c r="B4" s="4"/>
      <c r="C4" s="4" t="s">
        <v>280</v>
      </c>
      <c r="D4" s="4" t="s">
        <v>281</v>
      </c>
      <c r="E4" s="4" t="s">
        <v>282</v>
      </c>
      <c r="F4" s="4" t="s">
        <v>283</v>
      </c>
    </row>
    <row r="5" customFormat="false" ht="15" hidden="false" customHeight="false" outlineLevel="0" collapsed="false">
      <c r="B5" s="7" t="s">
        <v>284</v>
      </c>
      <c r="C5" s="26" t="n">
        <f aca="false">'Headcount - Traditional'!D24</f>
        <v>37</v>
      </c>
      <c r="D5" s="26" t="n">
        <f aca="false">'Headcount - AI-native'!D13</f>
        <v>8</v>
      </c>
      <c r="E5" s="27" t="n">
        <f aca="false">D5-C5</f>
        <v>-29</v>
      </c>
    </row>
    <row r="6" customFormat="false" ht="15" hidden="false" customHeight="false" outlineLevel="0" collapsed="false">
      <c r="B6" s="7" t="s">
        <v>285</v>
      </c>
      <c r="C6" s="25" t="n">
        <f aca="false">'Headcount - Traditional'!K24</f>
        <v>3638490</v>
      </c>
      <c r="D6" s="25" t="n">
        <f aca="false">'Headcount - AI-native'!K13</f>
        <v>799520</v>
      </c>
      <c r="E6" s="12" t="n">
        <f aca="false">D6-C6</f>
        <v>-2838970</v>
      </c>
      <c r="F6" s="9" t="s">
        <v>286</v>
      </c>
    </row>
    <row r="7" customFormat="false" ht="15" hidden="false" customHeight="false" outlineLevel="0" collapsed="false">
      <c r="B7" s="7" t="s">
        <v>287</v>
      </c>
      <c r="C7" s="25" t="n">
        <f aca="false">'Headcount - Traditional'!K26</f>
        <v>355200</v>
      </c>
      <c r="D7" s="25" t="n">
        <f aca="false">'Headcount - AI-native'!K15</f>
        <v>76800</v>
      </c>
      <c r="E7" s="12" t="n">
        <f aca="false">D7-C7</f>
        <v>-278400</v>
      </c>
    </row>
    <row r="8" customFormat="false" ht="15" hidden="false" customHeight="false" outlineLevel="0" collapsed="false">
      <c r="B8" s="7" t="s">
        <v>179</v>
      </c>
      <c r="C8" s="25" t="n">
        <f aca="false">'Headcount - Traditional'!K27</f>
        <v>111000</v>
      </c>
      <c r="D8" s="25" t="n">
        <f aca="false">'Headcount - AI-native'!K16</f>
        <v>24000</v>
      </c>
      <c r="E8" s="12" t="n">
        <f aca="false">D8-C8</f>
        <v>-87000</v>
      </c>
    </row>
    <row r="9" customFormat="false" ht="15" hidden="false" customHeight="false" outlineLevel="0" collapsed="false">
      <c r="B9" s="7" t="s">
        <v>288</v>
      </c>
      <c r="C9" s="25" t="n">
        <f aca="false">'Headcount - Traditional'!K28</f>
        <v>36200</v>
      </c>
      <c r="D9" s="25" t="n">
        <f aca="false">'Headcount - AI-native'!K18</f>
        <v>36200</v>
      </c>
      <c r="E9" s="12" t="n">
        <f aca="false">D9-C9</f>
        <v>0</v>
      </c>
    </row>
    <row r="10" customFormat="false" ht="15" hidden="false" customHeight="false" outlineLevel="0" collapsed="false">
      <c r="B10" s="7" t="s">
        <v>289</v>
      </c>
      <c r="C10" s="25" t="n">
        <f aca="false">0</f>
        <v>0</v>
      </c>
      <c r="D10" s="25" t="n">
        <f aca="false">'Headcount - AI-native'!K17</f>
        <v>11584</v>
      </c>
      <c r="E10" s="12" t="n">
        <f aca="false">D10-C10</f>
        <v>11584</v>
      </c>
    </row>
    <row r="11" customFormat="false" ht="15" hidden="false" customHeight="false" outlineLevel="0" collapsed="false">
      <c r="B11" s="7" t="s">
        <v>199</v>
      </c>
      <c r="C11" s="25" t="n">
        <f aca="false">0</f>
        <v>0</v>
      </c>
      <c r="D11" s="25" t="n">
        <f aca="false">'Headcount - AI-native'!K19</f>
        <v>60000</v>
      </c>
      <c r="E11" s="12" t="n">
        <f aca="false">D11-C11</f>
        <v>60000</v>
      </c>
      <c r="F11" s="9" t="s">
        <v>290</v>
      </c>
    </row>
    <row r="12" customFormat="false" ht="15" hidden="false" customHeight="false" outlineLevel="0" collapsed="false">
      <c r="B12" s="28" t="s">
        <v>291</v>
      </c>
      <c r="C12" s="29" t="n">
        <f aca="false">SUM(C6:C11)</f>
        <v>4140890</v>
      </c>
      <c r="D12" s="29" t="n">
        <f aca="false">SUM(D6:D11)</f>
        <v>1008104</v>
      </c>
      <c r="E12" s="24" t="n">
        <f aca="false">D12-C12</f>
        <v>-3132786</v>
      </c>
    </row>
    <row r="14" customFormat="false" ht="15" hidden="false" customHeight="false" outlineLevel="0" collapsed="false">
      <c r="B14" s="7" t="s">
        <v>292</v>
      </c>
      <c r="C14" s="25" t="n">
        <f aca="false">Revenue!C19</f>
        <v>4823377.5</v>
      </c>
      <c r="D14" s="25" t="n">
        <f aca="false">Revenue!C19</f>
        <v>4823377.5</v>
      </c>
      <c r="E14" s="12" t="n">
        <f aca="false">D14-C14</f>
        <v>0</v>
      </c>
    </row>
    <row r="15" customFormat="false" ht="15" hidden="false" customHeight="false" outlineLevel="0" collapsed="false">
      <c r="B15" s="7" t="s">
        <v>293</v>
      </c>
      <c r="C15" s="25" t="n">
        <f aca="false">C14-C12</f>
        <v>682487.5</v>
      </c>
      <c r="D15" s="25" t="n">
        <f aca="false">D14-D12</f>
        <v>3815273.5</v>
      </c>
      <c r="E15" s="12" t="n">
        <f aca="false">D15-C15</f>
        <v>3132786</v>
      </c>
    </row>
    <row r="16" customFormat="false" ht="15" hidden="false" customHeight="false" outlineLevel="0" collapsed="false">
      <c r="B16" s="7" t="s">
        <v>294</v>
      </c>
      <c r="C16" s="30" t="n">
        <f aca="false">C15/C14</f>
        <v>0.141495767229498</v>
      </c>
      <c r="D16" s="30" t="n">
        <f aca="false">D15/D14</f>
        <v>0.790996246924484</v>
      </c>
      <c r="E16" s="17" t="n">
        <f aca="false">D16-C16</f>
        <v>0.649500479694986</v>
      </c>
    </row>
    <row r="18" customFormat="false" ht="15" hidden="false" customHeight="false" outlineLevel="0" collapsed="false">
      <c r="B18" s="7" t="s">
        <v>44</v>
      </c>
      <c r="C18" s="31" t="n">
        <f aca="false">Assumptions!$C$12</f>
        <v>181</v>
      </c>
      <c r="D18" s="31" t="n">
        <f aca="false">Assumptions!$C$12</f>
        <v>181</v>
      </c>
    </row>
    <row r="19" customFormat="false" ht="15" hidden="false" customHeight="false" outlineLevel="0" collapsed="false">
      <c r="B19" s="7" t="s">
        <v>295</v>
      </c>
      <c r="C19" s="25" t="n">
        <f aca="false">C12/Assumptions!$C$12</f>
        <v>22877.8453038674</v>
      </c>
      <c r="D19" s="25" t="n">
        <f aca="false">D12/Assumptions!$C$12</f>
        <v>5569.63535911602</v>
      </c>
      <c r="E19" s="12" t="n">
        <f aca="false">D19-C19</f>
        <v>-17308.2099447514</v>
      </c>
      <c r="F19" s="9" t="s">
        <v>296</v>
      </c>
    </row>
    <row r="20" customFormat="false" ht="15" hidden="false" customHeight="false" outlineLevel="0" collapsed="false">
      <c r="B20" s="7" t="s">
        <v>297</v>
      </c>
      <c r="C20" s="32" t="n">
        <f aca="false">C12/Assumptions!$C$13</f>
        <v>0.0275636690408041</v>
      </c>
      <c r="D20" s="32" t="n">
        <f aca="false">D12/Assumptions!$C$13</f>
        <v>0.00671040404712774</v>
      </c>
      <c r="E20" s="33" t="n">
        <f aca="false">D20-C20</f>
        <v>-0.0208532649936764</v>
      </c>
      <c r="F20" s="9" t="s">
        <v>298</v>
      </c>
    </row>
    <row r="21" customFormat="false" ht="15" hidden="false" customHeight="false" outlineLevel="0" collapsed="false">
      <c r="B21" s="7" t="s">
        <v>299</v>
      </c>
      <c r="C21" s="25" t="n">
        <f aca="false">Assumptions!$C$6/C5</f>
        <v>4054054.05405405</v>
      </c>
      <c r="D21" s="25" t="n">
        <f aca="false">Assumptions!$C$6/D5</f>
        <v>18750000</v>
      </c>
      <c r="E21" s="12" t="n">
        <f aca="false">D21-C21</f>
        <v>14695945.9459459</v>
      </c>
    </row>
    <row r="22" customFormat="false" ht="15" hidden="false" customHeight="false" outlineLevel="0" collapsed="false">
      <c r="B22" s="7" t="s">
        <v>300</v>
      </c>
      <c r="C22" s="26" t="n">
        <f aca="false">Assumptions!$C$12/C5</f>
        <v>4.89189189189189</v>
      </c>
      <c r="D22" s="26" t="n">
        <f aca="false">Assumptions!$C$12/D5</f>
        <v>22.625</v>
      </c>
      <c r="E22" s="27" t="n">
        <f aca="false">D22-C22</f>
        <v>17.7331081081081</v>
      </c>
    </row>
    <row r="25" customFormat="false" ht="17.35" hidden="false" customHeight="false" outlineLevel="0" collapsed="false">
      <c r="B25" s="1" t="s">
        <v>301</v>
      </c>
    </row>
    <row r="26" customFormat="false" ht="15" hidden="false" customHeight="false" outlineLevel="0" collapsed="false">
      <c r="B26" s="9" t="s">
        <v>302</v>
      </c>
    </row>
    <row r="27" customFormat="false" ht="15" hidden="false" customHeight="false" outlineLevel="0" collapsed="false">
      <c r="B27" s="4" t="s">
        <v>303</v>
      </c>
      <c r="C27" s="4" t="s">
        <v>304</v>
      </c>
      <c r="D27" s="4" t="s">
        <v>305</v>
      </c>
      <c r="E27" s="4" t="s">
        <v>306</v>
      </c>
      <c r="F27" s="4" t="s">
        <v>283</v>
      </c>
    </row>
    <row r="28" customFormat="false" ht="15" hidden="false" customHeight="false" outlineLevel="0" collapsed="false">
      <c r="B28" s="7" t="s">
        <v>307</v>
      </c>
      <c r="C28" s="18" t="n">
        <v>150000000</v>
      </c>
      <c r="D28" s="18" t="n">
        <v>300000000</v>
      </c>
      <c r="E28" s="18" t="n">
        <v>600000000</v>
      </c>
      <c r="F28" s="9" t="s">
        <v>308</v>
      </c>
    </row>
    <row r="29" customFormat="false" ht="15" hidden="false" customHeight="false" outlineLevel="0" collapsed="false">
      <c r="B29" s="7" t="s">
        <v>309</v>
      </c>
      <c r="C29" s="34" t="n">
        <f aca="false">C28/Assumptions!$C$6</f>
        <v>1</v>
      </c>
      <c r="D29" s="34" t="n">
        <f aca="false">D28/Assumptions!$C$6</f>
        <v>2</v>
      </c>
      <c r="E29" s="34" t="n">
        <f aca="false">E28/Assumptions!$C$6</f>
        <v>4</v>
      </c>
    </row>
    <row r="30" customFormat="false" ht="15" hidden="false" customHeight="false" outlineLevel="0" collapsed="false">
      <c r="B30" s="7" t="s">
        <v>44</v>
      </c>
      <c r="C30" s="14" t="n">
        <f aca="false">ROUND(Assumptions!$C$12*C29,0)</f>
        <v>181</v>
      </c>
      <c r="D30" s="14" t="n">
        <f aca="false">ROUND(Assumptions!$C$12*D29,0)</f>
        <v>362</v>
      </c>
      <c r="E30" s="14" t="n">
        <f aca="false">ROUND(Assumptions!$C$12*E29,0)</f>
        <v>724</v>
      </c>
    </row>
    <row r="31" customFormat="false" ht="15" hidden="false" customHeight="false" outlineLevel="0" collapsed="false">
      <c r="B31" s="7" t="s">
        <v>310</v>
      </c>
      <c r="C31" s="12" t="n">
        <f aca="false">Revenue!$C$19*C29</f>
        <v>4823377.5</v>
      </c>
      <c r="D31" s="12" t="n">
        <f aca="false">Revenue!$C$19*D29</f>
        <v>9646755</v>
      </c>
      <c r="E31" s="12" t="n">
        <f aca="false">Revenue!$C$19*E29</f>
        <v>19293510</v>
      </c>
    </row>
    <row r="33" customFormat="false" ht="15" hidden="false" customHeight="false" outlineLevel="0" collapsed="false">
      <c r="B33" s="5" t="s">
        <v>311</v>
      </c>
    </row>
    <row r="34" customFormat="false" ht="15" hidden="false" customHeight="false" outlineLevel="0" collapsed="false">
      <c r="B34" s="7" t="s">
        <v>312</v>
      </c>
      <c r="C34" s="27" t="n">
        <f aca="false">SUMIF('Headcount - Traditional'!B6:B23,"Management",'Headcount - Traditional'!D6:D23)+('Headcount - Traditional'!$D$24-SUMIF('Headcount - Traditional'!B6:B23,"Management",'Headcount - Traditional'!D6:D23))*C29</f>
        <v>37</v>
      </c>
      <c r="D34" s="27" t="n">
        <f aca="false">SUMIF('Headcount - Traditional'!B6:B23,"Management",'Headcount - Traditional'!D6:D23)+('Headcount - Traditional'!$D$24-SUMIF('Headcount - Traditional'!B6:B23,"Management",'Headcount - Traditional'!D6:D23))*D29</f>
        <v>69</v>
      </c>
      <c r="E34" s="27" t="n">
        <f aca="false">SUMIF('Headcount - Traditional'!B6:B23,"Management",'Headcount - Traditional'!D6:D23)+('Headcount - Traditional'!$D$24-SUMIF('Headcount - Traditional'!B6:B23,"Management",'Headcount - Traditional'!D6:D23))*E29</f>
        <v>133</v>
      </c>
    </row>
    <row r="35" customFormat="false" ht="15" hidden="false" customHeight="false" outlineLevel="0" collapsed="false">
      <c r="B35" s="7" t="s">
        <v>313</v>
      </c>
      <c r="C35" s="12" t="n">
        <f aca="false">SUMIF('Headcount - Traditional'!B6:B23,"Management",'Headcount - Traditional'!K6:K23)+('Headcount - Traditional'!$K$24-SUMIF('Headcount - Traditional'!B6:B23,"Management",'Headcount - Traditional'!K6:K23))*C29+C34*(Assumptions!$C$36+Assumptions!$C$37)+Assumptions!$C$15*C29*Assumptions!$C$40</f>
        <v>4140890</v>
      </c>
      <c r="D35" s="12" t="n">
        <f aca="false">SUMIF('Headcount - Traditional'!B6:B23,"Management",'Headcount - Traditional'!K6:K23)+('Headcount - Traditional'!$K$24-SUMIF('Headcount - Traditional'!B6:B23,"Management",'Headcount - Traditional'!K6:K23))*D29+D34*(Assumptions!$C$36+Assumptions!$C$37)+Assumptions!$C$15*D29*Assumptions!$C$40</f>
        <v>7221330</v>
      </c>
      <c r="E35" s="12" t="n">
        <f aca="false">SUMIF('Headcount - Traditional'!B6:B23,"Management",'Headcount - Traditional'!K6:K23)+('Headcount - Traditional'!$K$24-SUMIF('Headcount - Traditional'!B6:B23,"Management",'Headcount - Traditional'!K6:K23))*E29+E34*(Assumptions!$C$36+Assumptions!$C$37)+Assumptions!$C$15*E29*Assumptions!$C$40</f>
        <v>13382210</v>
      </c>
    </row>
    <row r="36" customFormat="false" ht="15" hidden="false" customHeight="false" outlineLevel="0" collapsed="false">
      <c r="B36" s="7" t="s">
        <v>314</v>
      </c>
      <c r="C36" s="12" t="n">
        <f aca="false">C31-C35</f>
        <v>682487.5</v>
      </c>
      <c r="D36" s="12" t="n">
        <f aca="false">D31-D35</f>
        <v>2425425</v>
      </c>
      <c r="E36" s="12" t="n">
        <f aca="false">E31-E35</f>
        <v>5911300</v>
      </c>
    </row>
    <row r="37" customFormat="false" ht="15" hidden="false" customHeight="false" outlineLevel="0" collapsed="false">
      <c r="B37" s="7" t="s">
        <v>315</v>
      </c>
      <c r="C37" s="17" t="n">
        <f aca="false">C36/C31</f>
        <v>0.141495767229498</v>
      </c>
      <c r="D37" s="17" t="n">
        <f aca="false">D36/D31</f>
        <v>0.251423924418107</v>
      </c>
      <c r="E37" s="17" t="n">
        <f aca="false">E36/E31</f>
        <v>0.306388003012412</v>
      </c>
    </row>
    <row r="38" customFormat="false" ht="15" hidden="false" customHeight="false" outlineLevel="0" collapsed="false">
      <c r="B38" s="7" t="s">
        <v>316</v>
      </c>
      <c r="C38" s="12" t="n">
        <f aca="false">C35/C30</f>
        <v>22877.8453038674</v>
      </c>
      <c r="D38" s="12" t="n">
        <f aca="false">D35/D30</f>
        <v>19948.4254143646</v>
      </c>
      <c r="E38" s="12" t="n">
        <f aca="false">E35/E30</f>
        <v>18483.7154696133</v>
      </c>
    </row>
    <row r="40" customFormat="false" ht="15" hidden="false" customHeight="false" outlineLevel="0" collapsed="false">
      <c r="B40" s="5" t="s">
        <v>317</v>
      </c>
    </row>
    <row r="41" customFormat="false" ht="15" hidden="false" customHeight="false" outlineLevel="0" collapsed="false">
      <c r="B41" s="7" t="s">
        <v>312</v>
      </c>
      <c r="C41" s="27" t="n">
        <f aca="false">(SUM('Headcount - AI-native'!D6:D12)-'Headcount - AI-native'!D8-'Headcount - AI-native'!D11)+ROUNDUP(C28/75000000,0)+ROUNDUP(C28/150000000,0)</f>
        <v>8</v>
      </c>
      <c r="D41" s="27" t="n">
        <f aca="false">(SUM('Headcount - AI-native'!D6:D12)-'Headcount - AI-native'!D8-'Headcount - AI-native'!D11)+ROUNDUP(D28/75000000,0)+ROUNDUP(D28/150000000,0)</f>
        <v>11</v>
      </c>
      <c r="E41" s="27" t="n">
        <f aca="false">(SUM('Headcount - AI-native'!D6:D12)-'Headcount - AI-native'!D8-'Headcount - AI-native'!D11)+ROUNDUP(E28/75000000,0)+ROUNDUP(E28/150000000,0)</f>
        <v>17</v>
      </c>
    </row>
    <row r="42" customFormat="false" ht="15" hidden="false" customHeight="false" outlineLevel="0" collapsed="false">
      <c r="B42" s="7" t="s">
        <v>313</v>
      </c>
      <c r="C42" s="12" t="n">
        <f aca="false">(SUM('Headcount - AI-native'!K6:K12)-'Headcount - AI-native'!K8-'Headcount - AI-native'!K11)+ROUNDUP(C28/75000000,0)*('Headcount - AI-native'!K8/'Headcount - AI-native'!D8)+ROUNDUP(C28/150000000,0)*('Headcount - AI-native'!K11/'Headcount - AI-native'!D11)+C41*(Assumptions!$C$36+Assumptions!$C$37)+Assumptions!$C$15*C29*(Assumptions!$C$39+Assumptions!$C$40)+Assumptions!$C$41*(1+0.5*(C29-1))</f>
        <v>1008104</v>
      </c>
      <c r="D42" s="12" t="n">
        <f aca="false">(SUM('Headcount - AI-native'!K6:K12)-'Headcount - AI-native'!K8-'Headcount - AI-native'!K11)+ROUNDUP(D28/75000000,0)*('Headcount - AI-native'!K8/'Headcount - AI-native'!D8)+ROUNDUP(D28/150000000,0)*('Headcount - AI-native'!K11/'Headcount - AI-native'!D11)+D41*(Assumptions!$C$36+Assumptions!$C$37)+Assumptions!$C$15*D29*(Assumptions!$C$39+Assumptions!$C$40)+Assumptions!$C$41*(1+0.5*(D29-1))</f>
        <v>1429278</v>
      </c>
      <c r="E42" s="12" t="n">
        <f aca="false">(SUM('Headcount - AI-native'!K6:K12)-'Headcount - AI-native'!K8-'Headcount - AI-native'!K11)+ROUNDUP(E28/75000000,0)*('Headcount - AI-native'!K8/'Headcount - AI-native'!D8)+ROUNDUP(E28/150000000,0)*('Headcount - AI-native'!K11/'Headcount - AI-native'!D11)+E41*(Assumptions!$C$36+Assumptions!$C$37)+Assumptions!$C$15*E29*(Assumptions!$C$39+Assumptions!$C$40)+Assumptions!$C$41*(1+0.5*(E29-1))</f>
        <v>2271626</v>
      </c>
      <c r="F42" s="9" t="s">
        <v>318</v>
      </c>
    </row>
    <row r="43" customFormat="false" ht="15" hidden="false" customHeight="false" outlineLevel="0" collapsed="false">
      <c r="B43" s="7" t="s">
        <v>314</v>
      </c>
      <c r="C43" s="12" t="n">
        <f aca="false">C31-C42</f>
        <v>3815273.5</v>
      </c>
      <c r="D43" s="12" t="n">
        <f aca="false">D31-D42</f>
        <v>8217477</v>
      </c>
      <c r="E43" s="12" t="n">
        <f aca="false">E31-E42</f>
        <v>17021884</v>
      </c>
    </row>
    <row r="44" customFormat="false" ht="15" hidden="false" customHeight="false" outlineLevel="0" collapsed="false">
      <c r="B44" s="7" t="s">
        <v>315</v>
      </c>
      <c r="C44" s="17" t="n">
        <f aca="false">C43/C31</f>
        <v>0.790996246924484</v>
      </c>
      <c r="D44" s="17" t="n">
        <f aca="false">D43/D31</f>
        <v>0.851838467961506</v>
      </c>
      <c r="E44" s="17" t="n">
        <f aca="false">E43/E31</f>
        <v>0.882259578480017</v>
      </c>
    </row>
    <row r="45" customFormat="false" ht="15" hidden="false" customHeight="false" outlineLevel="0" collapsed="false">
      <c r="B45" s="7" t="s">
        <v>316</v>
      </c>
      <c r="C45" s="12" t="n">
        <f aca="false">C42/C30</f>
        <v>5569.63535911602</v>
      </c>
      <c r="D45" s="12" t="n">
        <f aca="false">D42/D30</f>
        <v>3948.2817679558</v>
      </c>
      <c r="E45" s="12" t="n">
        <f aca="false">E42/E30</f>
        <v>3137.60497237569</v>
      </c>
    </row>
    <row r="47" customFormat="false" ht="15" hidden="false" customHeight="false" outlineLevel="0" collapsed="false">
      <c r="B47" s="22" t="s">
        <v>319</v>
      </c>
      <c r="C47" s="35" t="n">
        <f aca="false">C35/C42</f>
        <v>4.10760199344512</v>
      </c>
      <c r="D47" s="35" t="n">
        <f aca="false">D35/D42</f>
        <v>5.05243206709961</v>
      </c>
      <c r="E47" s="35" t="n">
        <f aca="false">E35/E42</f>
        <v>5.89102695602181</v>
      </c>
    </row>
    <row r="48" customFormat="false" ht="15" hidden="false" customHeight="false" outlineLevel="0" collapsed="false">
      <c r="B48" s="22" t="s">
        <v>320</v>
      </c>
      <c r="C48" s="36" t="n">
        <f aca="false">C43-C36</f>
        <v>3132786</v>
      </c>
      <c r="D48" s="36" t="n">
        <f aca="false">D43-D36</f>
        <v>5792052</v>
      </c>
      <c r="E48" s="36" t="n">
        <f aca="false">E43-E36</f>
        <v>11110584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7.35" hidden="false" customHeight="false" outlineLevel="0" collapsed="false">
      <c r="B2" s="1" t="s">
        <v>321</v>
      </c>
    </row>
    <row r="4" customFormat="false" ht="15" hidden="false" customHeight="false" outlineLevel="0" collapsed="false">
      <c r="B4" s="4" t="s">
        <v>24</v>
      </c>
      <c r="C4" s="4" t="s">
        <v>322</v>
      </c>
      <c r="D4" s="4" t="s">
        <v>323</v>
      </c>
      <c r="E4" s="4" t="s">
        <v>283</v>
      </c>
    </row>
    <row r="5" customFormat="false" ht="15" hidden="false" customHeight="false" outlineLevel="0" collapsed="false">
      <c r="B5" s="7" t="s">
        <v>324</v>
      </c>
      <c r="C5" s="25" t="n">
        <f aca="false">SUM('Headcount - Traditional'!K7:K8)/SUM('Headcount - Traditional'!D7:D8)/Assumptions!$C$44</f>
        <v>47.3191919191919</v>
      </c>
      <c r="D5" s="25" t="n">
        <f aca="false">SUM('Headcount - Traditional'!K7:K8)/SUM('Headcount - Traditional'!D7:D8)/Assumptions!$C$44</f>
        <v>47.3191919191919</v>
      </c>
      <c r="E5" s="9" t="s">
        <v>325</v>
      </c>
    </row>
    <row r="6" customFormat="false" ht="15" hidden="false" customHeight="false" outlineLevel="0" collapsed="false">
      <c r="B6" s="7" t="s">
        <v>326</v>
      </c>
      <c r="C6" s="26" t="n">
        <f aca="false">Assumptions!$C$43</f>
        <v>12</v>
      </c>
      <c r="D6" s="26" t="n">
        <f aca="false">Assumptions!$C$42</f>
        <v>1.5</v>
      </c>
      <c r="E6" s="9" t="s">
        <v>327</v>
      </c>
    </row>
    <row r="7" customFormat="false" ht="15" hidden="false" customHeight="false" outlineLevel="0" collapsed="false">
      <c r="B7" s="7" t="s">
        <v>328</v>
      </c>
      <c r="C7" s="25" t="n">
        <f aca="false">C5*C6</f>
        <v>567.830303030303</v>
      </c>
      <c r="D7" s="25" t="n">
        <f aca="false">D5*D6</f>
        <v>70.9787878787879</v>
      </c>
      <c r="E7" s="9"/>
    </row>
    <row r="8" customFormat="false" ht="15" hidden="false" customHeight="false" outlineLevel="0" collapsed="false">
      <c r="B8" s="7" t="s">
        <v>329</v>
      </c>
      <c r="C8" s="25" t="n">
        <f aca="false">0</f>
        <v>0</v>
      </c>
      <c r="D8" s="25" t="n">
        <f aca="false">Assumptions!$C$39</f>
        <v>16</v>
      </c>
      <c r="E8" s="9" t="s">
        <v>330</v>
      </c>
    </row>
    <row r="9" customFormat="false" ht="15" hidden="false" customHeight="false" outlineLevel="0" collapsed="false">
      <c r="B9" s="7" t="s">
        <v>288</v>
      </c>
      <c r="C9" s="25" t="n">
        <f aca="false">Assumptions!$C$40</f>
        <v>50</v>
      </c>
      <c r="D9" s="25" t="n">
        <f aca="false">Assumptions!$C$40</f>
        <v>50</v>
      </c>
      <c r="E9" s="9" t="s">
        <v>331</v>
      </c>
    </row>
    <row r="10" customFormat="false" ht="15" hidden="false" customHeight="false" outlineLevel="0" collapsed="false">
      <c r="B10" s="28" t="s">
        <v>332</v>
      </c>
      <c r="C10" s="29" t="n">
        <f aca="false">SUM(C7:C9)</f>
        <v>617.830303030303</v>
      </c>
      <c r="D10" s="29" t="n">
        <f aca="false">SUM(D7:D9)</f>
        <v>136.978787878788</v>
      </c>
      <c r="E10" s="9"/>
    </row>
    <row r="12" customFormat="false" ht="15" hidden="false" customHeight="false" outlineLevel="0" collapsed="false">
      <c r="B12" s="7" t="s">
        <v>333</v>
      </c>
      <c r="C12" s="31" t="n">
        <f aca="false">Assumptions!$C$44/C6</f>
        <v>137.5</v>
      </c>
      <c r="D12" s="31" t="n">
        <f aca="false">Assumptions!$C$44/D6</f>
        <v>1100</v>
      </c>
      <c r="E12" s="9" t="s">
        <v>334</v>
      </c>
    </row>
    <row r="13" customFormat="false" ht="15" hidden="false" customHeight="false" outlineLevel="0" collapsed="false">
      <c r="B13" s="7" t="s">
        <v>335</v>
      </c>
      <c r="C13" s="15" t="n">
        <v>5</v>
      </c>
      <c r="D13" s="15" t="n">
        <v>0.25</v>
      </c>
      <c r="E13" s="9" t="s">
        <v>336</v>
      </c>
    </row>
    <row r="14" customFormat="false" ht="15" hidden="false" customHeight="false" outlineLevel="0" collapsed="false">
      <c r="B14" s="7" t="s">
        <v>337</v>
      </c>
      <c r="D14" s="30" t="n">
        <f aca="false">1-D10/C10</f>
        <v>0.778290596613761</v>
      </c>
      <c r="E14" s="9"/>
    </row>
    <row r="16" customFormat="false" ht="15" hidden="false" customHeight="false" outlineLevel="0" collapsed="false">
      <c r="B16" s="7" t="s">
        <v>338</v>
      </c>
      <c r="D16" s="37" t="n">
        <f aca="false">C6/D6</f>
        <v>8</v>
      </c>
      <c r="E16" s="9" t="s">
        <v>339</v>
      </c>
    </row>
    <row r="17" customFormat="false" ht="15" hidden="false" customHeight="false" outlineLevel="0" collapsed="false">
      <c r="B17" s="7" t="s">
        <v>340</v>
      </c>
      <c r="C17" s="31" t="n">
        <f aca="false">Assumptions!$C$46</f>
        <v>15</v>
      </c>
      <c r="D17" s="31" t="n">
        <f aca="false">C17*$D$16</f>
        <v>120</v>
      </c>
      <c r="E17" s="9" t="s">
        <v>341</v>
      </c>
    </row>
    <row r="18" customFormat="false" ht="15" hidden="false" customHeight="false" outlineLevel="0" collapsed="false">
      <c r="B18" s="7" t="s">
        <v>342</v>
      </c>
      <c r="C18" s="31" t="n">
        <f aca="false">Assumptions!$C$47</f>
        <v>25</v>
      </c>
      <c r="D18" s="31" t="n">
        <f aca="false">C18*$D$16</f>
        <v>200</v>
      </c>
      <c r="E18" s="9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344</v>
      </c>
    </row>
    <row r="4" customFormat="false" ht="15" hidden="false" customHeight="false" outlineLevel="0" collapsed="false">
      <c r="B4" s="4" t="s">
        <v>345</v>
      </c>
      <c r="C4" s="4" t="s">
        <v>346</v>
      </c>
    </row>
    <row r="5" customFormat="false" ht="35.05" hidden="false" customHeight="false" outlineLevel="0" collapsed="false">
      <c r="B5" s="7" t="s">
        <v>347</v>
      </c>
      <c r="C5" s="38" t="s">
        <v>348</v>
      </c>
    </row>
    <row r="6" customFormat="false" ht="15" hidden="false" customHeight="false" outlineLevel="0" collapsed="false">
      <c r="B6" s="7" t="s">
        <v>349</v>
      </c>
      <c r="C6" s="38" t="s">
        <v>350</v>
      </c>
    </row>
    <row r="7" customFormat="false" ht="23.85" hidden="false" customHeight="false" outlineLevel="0" collapsed="false">
      <c r="B7" s="7" t="s">
        <v>351</v>
      </c>
      <c r="C7" s="38" t="s">
        <v>352</v>
      </c>
    </row>
    <row r="8" customFormat="false" ht="23.85" hidden="false" customHeight="false" outlineLevel="0" collapsed="false">
      <c r="B8" s="7" t="s">
        <v>353</v>
      </c>
      <c r="C8" s="38" t="s">
        <v>354</v>
      </c>
    </row>
    <row r="9" customFormat="false" ht="15" hidden="false" customHeight="false" outlineLevel="0" collapsed="false">
      <c r="B9" s="7" t="s">
        <v>355</v>
      </c>
      <c r="C9" s="38" t="s">
        <v>356</v>
      </c>
    </row>
    <row r="10" customFormat="false" ht="35.05" hidden="false" customHeight="false" outlineLevel="0" collapsed="false">
      <c r="B10" s="7" t="s">
        <v>357</v>
      </c>
      <c r="C10" s="38" t="s">
        <v>358</v>
      </c>
    </row>
    <row r="11" customFormat="false" ht="23.85" hidden="false" customHeight="false" outlineLevel="0" collapsed="false">
      <c r="B11" s="7" t="s">
        <v>359</v>
      </c>
      <c r="C11" s="38" t="s">
        <v>360</v>
      </c>
    </row>
    <row r="12" customFormat="false" ht="23.85" hidden="false" customHeight="false" outlineLevel="0" collapsed="false">
      <c r="B12" s="7" t="s">
        <v>361</v>
      </c>
      <c r="C12" s="38" t="s">
        <v>362</v>
      </c>
    </row>
    <row r="13" customFormat="false" ht="15" hidden="false" customHeight="false" outlineLevel="0" collapsed="false">
      <c r="B13" s="7" t="s">
        <v>363</v>
      </c>
      <c r="C13" s="38" t="s">
        <v>364</v>
      </c>
    </row>
    <row r="14" customFormat="false" ht="15" hidden="false" customHeight="false" outlineLevel="0" collapsed="false">
      <c r="B14" s="7" t="s">
        <v>365</v>
      </c>
      <c r="C14" s="38" t="s">
        <v>366</v>
      </c>
    </row>
    <row r="15" customFormat="false" ht="15" hidden="false" customHeight="false" outlineLevel="0" collapsed="false">
      <c r="B15" s="7" t="s">
        <v>367</v>
      </c>
      <c r="C15" s="38" t="s">
        <v>368</v>
      </c>
    </row>
    <row r="16" customFormat="false" ht="15" hidden="false" customHeight="false" outlineLevel="0" collapsed="false">
      <c r="B16" s="7" t="s">
        <v>369</v>
      </c>
      <c r="C16" s="38" t="s">
        <v>370</v>
      </c>
    </row>
    <row r="17" customFormat="false" ht="15" hidden="false" customHeight="false" outlineLevel="0" collapsed="false">
      <c r="B17" s="7" t="s">
        <v>371</v>
      </c>
      <c r="C17" s="38" t="s">
        <v>372</v>
      </c>
    </row>
    <row r="18" customFormat="false" ht="15" hidden="false" customHeight="false" outlineLevel="0" collapsed="false">
      <c r="B18" s="7" t="s">
        <v>373</v>
      </c>
      <c r="C18" s="38" t="s">
        <v>374</v>
      </c>
    </row>
    <row r="19" customFormat="false" ht="15" hidden="false" customHeight="false" outlineLevel="0" collapsed="false">
      <c r="B19" s="7" t="s">
        <v>375</v>
      </c>
      <c r="C19" s="38" t="s">
        <v>376</v>
      </c>
    </row>
    <row r="20" customFormat="false" ht="15" hidden="false" customHeight="false" outlineLevel="0" collapsed="false">
      <c r="B20" s="7" t="s">
        <v>377</v>
      </c>
      <c r="C20" s="38" t="s">
        <v>378</v>
      </c>
    </row>
    <row r="21" customFormat="false" ht="15" hidden="false" customHeight="false" outlineLevel="0" collapsed="false">
      <c r="B21" s="7" t="s">
        <v>379</v>
      </c>
      <c r="C21" s="38" t="s">
        <v>380</v>
      </c>
    </row>
    <row r="22" customFormat="false" ht="15" hidden="false" customHeight="false" outlineLevel="0" collapsed="false">
      <c r="B22" s="7" t="s">
        <v>381</v>
      </c>
      <c r="C22" s="38" t="s">
        <v>382</v>
      </c>
    </row>
    <row r="23" customFormat="false" ht="15" hidden="false" customHeight="false" outlineLevel="0" collapsed="false">
      <c r="B23" s="7" t="s">
        <v>383</v>
      </c>
      <c r="C23" s="38" t="s">
        <v>384</v>
      </c>
    </row>
    <row r="24" customFormat="false" ht="15" hidden="false" customHeight="false" outlineLevel="0" collapsed="false">
      <c r="B24" s="7" t="s">
        <v>385</v>
      </c>
      <c r="C24" s="38" t="s">
        <v>386</v>
      </c>
    </row>
    <row r="25" customFormat="false" ht="15" hidden="false" customHeight="false" outlineLevel="0" collapsed="false">
      <c r="B25" s="7" t="s">
        <v>387</v>
      </c>
      <c r="C25" s="38" t="s">
        <v>388</v>
      </c>
    </row>
    <row r="26" customFormat="false" ht="15" hidden="false" customHeight="false" outlineLevel="0" collapsed="false">
      <c r="B26" s="7" t="s">
        <v>389</v>
      </c>
      <c r="C26" s="38" t="s">
        <v>390</v>
      </c>
    </row>
    <row r="27" customFormat="false" ht="23.85" hidden="false" customHeight="false" outlineLevel="0" collapsed="false">
      <c r="B27" s="7" t="s">
        <v>391</v>
      </c>
      <c r="C27" s="38" t="s">
        <v>392</v>
      </c>
    </row>
    <row r="28" customFormat="false" ht="35.05" hidden="false" customHeight="false" outlineLevel="0" collapsed="false">
      <c r="B28" s="7" t="s">
        <v>393</v>
      </c>
      <c r="C28" s="38" t="s">
        <v>394</v>
      </c>
    </row>
    <row r="29" customFormat="false" ht="23.85" hidden="false" customHeight="false" outlineLevel="0" collapsed="false">
      <c r="B29" s="7" t="s">
        <v>395</v>
      </c>
      <c r="C29" s="38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2026-09-23T15:08:48Z</dcterms:created>
  <dc:creator>openpyxl</dc:creator>
  <dc:description/>
  <dc:language>en-US</dc:language>
  <cp:lastModifiedBy/>
  <dcterms:modified xsi:type="dcterms:W3CDTF">2026-09-23T15:08:48Z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