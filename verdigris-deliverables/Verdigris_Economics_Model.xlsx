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Headcount - Traditional" sheetId="3" state="visible" r:id="rId3"/>
    <sheet name="Headcount - AI-native" sheetId="4" state="visible" r:id="rId4"/>
    <sheet name="Revenue" sheetId="5" state="visible" r:id="rId5"/>
    <sheet name="Comparison" sheetId="6" state="visible" r:id="rId6"/>
    <sheet name="Per-case cost" sheetId="7" state="visible" r:id="rId7"/>
    <sheet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£#,##0;(£#,##0);-"/>
    <numFmt numFmtId="165" formatCode="#,##0;(#,##0);-"/>
    <numFmt numFmtId="166" formatCode="#,##0.0;(#,##0.0);-"/>
    <numFmt numFmtId="167" formatCode="0.00%;(0.00%);-"/>
    <numFmt numFmtId="168" formatCode="0.0%;(0.0%);-"/>
    <numFmt numFmtId="169" formatCode="0.0&quot;x&quot;"/>
  </numFmts>
  <fonts count="10">
    <font>
      <name val="Calibri"/>
      <family val="2"/>
      <color theme="1"/>
      <sz val="11"/>
      <scheme val="minor"/>
    </font>
    <font>
      <name val="Arial"/>
      <b val="1"/>
      <color rgb="001F4E48"/>
      <sz val="14"/>
    </font>
    <font>
      <name val="Arial"/>
      <color rgb="00000000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i val="1"/>
      <color rgb="00555555"/>
      <sz val="9"/>
    </font>
    <font>
      <name val="Arial"/>
      <b val="1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4E48"/>
      </patternFill>
    </fill>
    <fill>
      <patternFill patternType="solid">
        <fgColor rgb="00D9E8E4"/>
      </patternFill>
    </fill>
    <fill>
      <patternFill patternType="solid">
        <fgColor rgb="00FFFF00"/>
      </patternFill>
    </fill>
    <fill>
      <patternFill patternType="solid">
        <fgColor rgb="00EAF2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3" borderId="0" pivotButton="0" quotePrefix="0" xfId="0"/>
    <xf numFmtId="0" fontId="0" fillId="3" borderId="0" pivotButton="0" quotePrefix="0" xfId="0"/>
    <xf numFmtId="0" fontId="2" fillId="0" borderId="0" pivotButton="0" quotePrefix="0" xfId="0"/>
    <xf numFmtId="164" fontId="5" fillId="4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165" fontId="5" fillId="0" borderId="0" pivotButton="0" quotePrefix="0" xfId="0"/>
    <xf numFmtId="165" fontId="2" fillId="0" borderId="0" pivotButton="0" quotePrefix="0" xfId="0"/>
    <xf numFmtId="164" fontId="2" fillId="0" borderId="0" pivotButton="0" quotePrefix="0" xfId="0"/>
    <xf numFmtId="166" fontId="5" fillId="0" borderId="0" pivotButton="0" quotePrefix="0" xfId="0"/>
    <xf numFmtId="167" fontId="5" fillId="4" borderId="0" pivotButton="0" quotePrefix="0" xfId="0"/>
    <xf numFmtId="168" fontId="2" fillId="0" borderId="0" pivotButton="0" quotePrefix="0" xfId="0"/>
    <xf numFmtId="168" fontId="5" fillId="4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6" fontId="5" fillId="4" borderId="0" pivotButton="0" quotePrefix="0" xfId="0"/>
    <xf numFmtId="0" fontId="3" fillId="0" borderId="0" pivotButton="0" quotePrefix="0" xfId="0"/>
    <xf numFmtId="166" fontId="7" fillId="5" borderId="0" pivotButton="0" quotePrefix="0" xfId="0"/>
    <xf numFmtId="164" fontId="7" fillId="5" borderId="0" pivotButton="0" quotePrefix="0" xfId="0"/>
    <xf numFmtId="164" fontId="8" fillId="0" borderId="0" pivotButton="0" quotePrefix="0" xfId="0"/>
    <xf numFmtId="166" fontId="8" fillId="0" borderId="0" pivotButton="0" quotePrefix="0" xfId="0"/>
    <xf numFmtId="166" fontId="2" fillId="0" borderId="0" pivotButton="0" quotePrefix="0" xfId="0"/>
    <xf numFmtId="0" fontId="3" fillId="5" borderId="0" pivotButton="0" quotePrefix="0" xfId="0"/>
    <xf numFmtId="164" fontId="9" fillId="5" borderId="0" pivotButton="0" quotePrefix="0" xfId="0"/>
    <xf numFmtId="168" fontId="8" fillId="0" borderId="0" pivotButton="0" quotePrefix="0" xfId="0"/>
    <xf numFmtId="165" fontId="8" fillId="0" borderId="0" pivotButton="0" quotePrefix="0" xfId="0"/>
    <xf numFmtId="167" fontId="8" fillId="0" borderId="0" pivotButton="0" quotePrefix="0" xfId="0"/>
    <xf numFmtId="167" fontId="2" fillId="0" borderId="0" pivotButton="0" quotePrefix="0" xfId="0"/>
    <xf numFmtId="169" fontId="2" fillId="0" borderId="0" pivotButton="0" quotePrefix="0" xfId="0"/>
    <xf numFmtId="169" fontId="7" fillId="0" borderId="0" pivotButton="0" quotePrefix="0" xfId="0"/>
    <xf numFmtId="164" fontId="7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Verdigris model</author>
  </authors>
  <commentList>
    <comment ref="E6" authorId="0" shapeId="0">
      <text>
        <t>Head of Credit, bridging/dev lender London £100–130k (jobsite; Morgan McKinley). EST.</t>
      </text>
    </comment>
    <comment ref="E7" authorId="0" shapeId="0">
      <text>
        <t>Senior bridging UW £70–80k + 10–20% (exec-appointments; Fintelligent).</t>
      </text>
    </comment>
    <comment ref="E8" authorId="0" shapeId="0">
      <text>
        <t>Mid UW £45–65k + 10–20% (Tandem; Fintelligent job ads).</t>
      </text>
    </comment>
    <comment ref="E9" authorId="0" shapeId="0">
      <text>
        <t>Junior bridging UW £30–45k (Fame Recruitment ad; talent.com).</t>
      </text>
    </comment>
    <comment ref="E10" authorId="0" shapeId="0">
      <text>
        <t>Portfolio Manager bridging up to £60–65k + bonus (Reed; Fintelligent).</t>
      </text>
    </comment>
    <comment ref="E11" authorId="0" shapeId="0">
      <text>
        <t>Completions specialist up to £40k (+London uplift); case manager £30–35k (NRG).</t>
      </text>
    </comment>
    <comment ref="E12" authorId="0" shapeId="0">
      <text>
        <t>Loan admin £26–38k London (Indeed; PayScale).</t>
      </text>
    </comment>
    <comment ref="E13" authorId="0" shapeId="0">
      <text>
        <t>Head of Sales London avg £104k, 30–40% variable (Glassdoor; sales-director norm). EST.</t>
      </text>
    </comment>
    <comment ref="E14" authorId="0" shapeId="0">
      <text>
        <t>Originator £75–85k + bonus up to 100% (Fintelligent); £90k + uncapped (jobsite).</t>
      </text>
    </comment>
    <comment ref="E15" authorId="0" shapeId="0">
      <text>
        <t>BDM bridging up to £65k + 20% bonus; £60–80k + OTE 1.3–1.8x (Fintelligent; Totaljobs).</t>
      </text>
    </comment>
    <comment ref="E16" authorId="0" shapeId="0">
      <text>
        <t>Marketing manager London avg £48k (Glassdoor).</t>
      </text>
    </comment>
    <comment ref="E17" authorId="0" shapeId="0">
      <text>
        <t>Marketing executive London avg £36k (Glassdoor).</t>
      </text>
    </comment>
    <comment ref="E18" authorId="0" shapeId="0">
      <text>
        <t>CEO &lt;£50m revenue £150–250k, 30–50% bonus (Exec Capital). EST.</t>
      </text>
    </comment>
    <comment ref="E19" authorId="0" shapeId="0">
      <text>
        <t>SME CFO £110–170k with FS premium (FD Capital). EST.</t>
      </text>
    </comment>
    <comment ref="E20" authorId="0" shapeId="0">
      <text>
        <t>Ops Director £80–120k + 15–30% (Exec Capital). EST.</t>
      </text>
    </comment>
    <comment ref="E21" authorId="0" shapeId="0">
      <text>
        <t>Head of Technology London avg £114k (Glassdoor). EST.</t>
      </text>
    </comment>
    <comment ref="E22" authorId="0" shapeId="0">
      <text>
        <t>Compliance Officer London £60–75k (Morgan McKinley 2026).</t>
      </text>
    </comment>
    <comment ref="E23" authorId="0" shapeId="0">
      <text>
        <t>Software engineer London mid £50–80k (Glassdoor).</t>
      </text>
    </comment>
  </commentList>
</comments>
</file>

<file path=xl/comments/comment2.xml><?xml version="1.0" encoding="utf-8"?>
<comments xmlns="http://schemas.openxmlformats.org/spreadsheetml/2006/main">
  <authors>
    <author>Verdigris model</author>
  </authors>
  <commentList>
    <comment ref="E6" authorId="0" shapeId="0">
      <text>
        <t>Founder salary — below market by design at seed stage.</t>
      </text>
    </comment>
    <comment ref="E7" authorId="0" shapeId="0">
      <text>
        <t>Founder salary — below market by design at seed stage.</t>
      </text>
    </comment>
    <comment ref="E8" authorId="0" shapeId="0">
      <text>
        <t>Same band as traditional senior UW. Reviews AI-drafted packs, owns the decision.</t>
      </text>
    </comment>
    <comment ref="E9" authorId="0" shapeId="0">
      <text>
        <t>One person runs completions and servicing with automated workflow.</t>
      </text>
    </comment>
    <comment ref="E10" authorId="0" shapeId="0">
      <text>
        <t>Regulated lender needs one regardless of size.</t>
      </text>
    </comment>
    <comment ref="E11" authorId="0" shapeId="0">
      <text>
        <t>One BDM; brokers still introduce ~85% of flow.</t>
      </text>
    </comment>
    <comment ref="E12" authorId="0" shapeId="0">
      <text>
        <t>Maintains pipelines, evals, integrations.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Verdigris — Economics Model: traditional bridging lender vs AI-native lender</t>
        </is>
      </c>
    </row>
    <row r="4">
      <c r="B4" s="2" t="inlineStr">
        <is>
          <t>Purpose: compare the cost structure of a typical mid-size UK bridging lender ('Northgate Bridging', a fictional composite) with an AI-native lender ('Verdigris') running the SAME loan book, then show how each scales.</t>
        </is>
      </c>
    </row>
    <row r="5">
      <c r="B5" s="2" t="inlineStr"/>
    </row>
    <row r="6">
      <c r="B6" s="3" t="inlineStr">
        <is>
          <t>How to use</t>
        </is>
      </c>
    </row>
    <row r="7">
      <c r="B7" s="2" t="inlineStr">
        <is>
          <t>• Blue text = input you can change. Yellow fill = the key assumptions that drive the answer. Black = formula. Green = link from another sheet.</t>
        </is>
      </c>
    </row>
    <row r="8">
      <c r="B8" s="2" t="inlineStr">
        <is>
          <t>• Change inputs only on the 'Assumptions' sheet and the two Headcount sheets. Everything else recalculates.</t>
        </is>
      </c>
    </row>
    <row r="9">
      <c r="B9" s="2" t="inlineStr">
        <is>
          <t>• Every input has a cell comment saying where it came from (public source, founder estimate, or research benchmark). Hover to read it.</t>
        </is>
      </c>
    </row>
    <row r="10">
      <c r="B10" s="2" t="inlineStr"/>
    </row>
    <row r="11">
      <c r="B11" s="3" t="inlineStr">
        <is>
          <t>Sheets</t>
        </is>
      </c>
    </row>
    <row r="12">
      <c r="B12" s="2" t="inlineStr">
        <is>
          <t>1. Assumptions — loan book, pricing, fees, funding cost, losses, on-costs, AI cost per case.</t>
        </is>
      </c>
    </row>
    <row r="13">
      <c r="B13" s="2" t="inlineStr">
        <is>
          <t>2. Headcount — Traditional — 36-person team by function, salary, bonus, fully loaded cost.</t>
        </is>
      </c>
    </row>
    <row r="14">
      <c r="B14" s="2" t="inlineStr">
        <is>
          <t>3. Headcount — AI-native — 8-person team doing the same book with AI agents.</t>
        </is>
      </c>
    </row>
    <row r="15">
      <c r="B15" s="2" t="inlineStr">
        <is>
          <t>4. Revenue — revenue build for the loan book (identical for both models).</t>
        </is>
      </c>
    </row>
    <row r="16">
      <c r="B16" s="2" t="inlineStr">
        <is>
          <t>5. Comparison — P&amp;L side by side, cost per loan, margin, and the scaling table (£150m → £600m book).</t>
        </is>
      </c>
    </row>
    <row r="17">
      <c r="B17" s="2" t="inlineStr">
        <is>
          <t>6. Per-case cost — what it costs to underwrite ONE case, human vs AI-assisted.</t>
        </is>
      </c>
    </row>
    <row r="18">
      <c r="B18" s="2" t="inlineStr">
        <is>
          <t>7. Sources — where every number came from, with URLs.</t>
        </is>
      </c>
    </row>
    <row r="19">
      <c r="B19" s="2" t="inlineStr"/>
    </row>
    <row r="20">
      <c r="B20" s="3" t="inlineStr">
        <is>
          <t>Status of the numbers</t>
        </is>
      </c>
    </row>
    <row r="21">
      <c r="B21" s="2" t="inlineStr">
        <is>
          <t>• Salary bands: 2025–26 London job ads and salary guides (see Sources). C-suite bands are estimates.</t>
        </is>
      </c>
    </row>
    <row r="22">
      <c r="B22" s="2" t="inlineStr">
        <is>
          <t>• Loan book, loan size, completions: founder estimate calibrated to public market data (BDLA avg loan £540k; ~25 loans per analyst per year).</t>
        </is>
      </c>
    </row>
    <row r="23">
      <c r="B23" s="2" t="inlineStr">
        <is>
          <t>• Pricing: market rates (0.81–0.84%/month average, Bridging Trends 2025–26). Arrangement fee and broker fee are market-typical assumptions.</t>
        </is>
      </c>
    </row>
    <row r="24">
      <c r="B24" s="2" t="inlineStr">
        <is>
          <t>• AI cost per case: computed from Anthropic list prices (June 2026) and typical document volumes; a 10x safety factor is applied.</t>
        </is>
      </c>
    </row>
    <row r="25">
      <c r="B25" s="2" t="inlineStr">
        <is>
          <t>• Nothing in this model is a claim about any specific company. 'Northgate Bridging' is a composite.</t>
        </is>
      </c>
    </row>
    <row r="26">
      <c r="B26" s="2" t="inlineStr"/>
    </row>
    <row r="27">
      <c r="B27" s="2" t="inlineStr">
        <is>
          <t>Built 9 September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12" customWidth="1" min="4" max="4"/>
    <col width="70" customWidth="1" min="5" max="5"/>
  </cols>
  <sheetData>
    <row r="2">
      <c r="B2" s="1" t="inlineStr">
        <is>
          <t>Assumptions — all inputs in blue; yellow = key drivers</t>
        </is>
      </c>
    </row>
    <row r="4">
      <c r="B4" s="4" t="inlineStr">
        <is>
          <t>Item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Basis / source</t>
        </is>
      </c>
    </row>
    <row r="5" ht="16" customHeight="1">
      <c r="B5" s="5" t="inlineStr">
        <is>
          <t>LOAN BOOK</t>
        </is>
      </c>
      <c r="C5" s="6" t="n"/>
      <c r="D5" s="6" t="n"/>
      <c r="E5" s="6" t="n"/>
    </row>
    <row r="6" ht="30" customHeight="1">
      <c r="B6" s="7" t="inlineStr">
        <is>
          <t>Live loan book (average)</t>
        </is>
      </c>
      <c r="C6" s="8" t="n">
        <v>150000000</v>
      </c>
      <c r="D6" s="9" t="inlineStr">
        <is>
          <t>£</t>
        </is>
      </c>
      <c r="E6" s="10" t="inlineStr">
        <is>
          <t>Founder estimate for a ~35-person lender; consistent with £3–10m book per employee benchmark (Octane, Hope, Tuscan) and est. £120–320m for the comparator.</t>
        </is>
      </c>
    </row>
    <row r="7" ht="30" customHeight="1">
      <c r="B7" s="7" t="inlineStr">
        <is>
          <t>Average loan size</t>
        </is>
      </c>
      <c r="C7" s="8" t="n">
        <v>650000</v>
      </c>
      <c r="D7" s="9" t="inlineStr">
        <is>
          <t>£</t>
        </is>
      </c>
      <c r="E7" s="10" t="inlineStr">
        <is>
          <t>Founder data: pipeline tracker Jan 2026 shows facilities £205k–£1.59m, median ≈ £440k; development loans larger; CV: typically £500k–£1m. BDLA market average £540k.</t>
        </is>
      </c>
    </row>
    <row r="8" ht="30" customHeight="1">
      <c r="B8" s="7" t="inlineStr">
        <is>
          <t>Average term</t>
        </is>
      </c>
      <c r="C8" s="11" t="n">
        <v>12</v>
      </c>
      <c r="D8" s="9" t="inlineStr">
        <is>
          <t>months</t>
        </is>
      </c>
      <c r="E8" s="10" t="inlineStr">
        <is>
          <t>Bridging Trends 2025 average term 12 months; founder calculator example 18 months (refurb).</t>
        </is>
      </c>
    </row>
    <row r="9" ht="30" customHeight="1">
      <c r="B9" s="7" t="inlineStr">
        <is>
          <t>Loans completed per year</t>
        </is>
      </c>
      <c r="C9" s="12">
        <f>ROUND(C6/C7*12/C8,0)</f>
        <v/>
      </c>
      <c r="D9" s="9" t="inlineStr">
        <is>
          <t>loans</t>
        </is>
      </c>
      <c r="E9" s="10" t="inlineStr">
        <is>
          <t>Book ÷ avg loan × 12 ÷ term. ~240 → ~24 per underwriter with 10 in credit, matching ~25 loans/yr per analyst.</t>
        </is>
      </c>
    </row>
    <row r="10" ht="30" customHeight="1">
      <c r="B10" s="7" t="inlineStr">
        <is>
          <t>Annual originations (£)</t>
        </is>
      </c>
      <c r="C10" s="13">
        <f>C9*C7</f>
        <v/>
      </c>
      <c r="D10" s="9" t="inlineStr">
        <is>
          <t>£</t>
        </is>
      </c>
      <c r="E10" s="10" t="inlineStr">
        <is>
          <t>Loans × average loan size.</t>
        </is>
      </c>
    </row>
    <row r="11" ht="30" customHeight="1">
      <c r="B11" s="7" t="inlineStr">
        <is>
          <t>Applications assessed per completed loan</t>
        </is>
      </c>
      <c r="C11" s="14" t="n">
        <v>4</v>
      </c>
      <c r="D11" s="9" t="inlineStr">
        <is>
          <t>x</t>
        </is>
      </c>
      <c r="E11" s="10" t="inlineStr">
        <is>
          <t>Founder estimate: pipeline of 15–23 live cases vs ~2 completions/month per analyst → roughly 1 in 4 assessed cases completes.</t>
        </is>
      </c>
    </row>
    <row r="12" ht="30" customHeight="1">
      <c r="B12" s="7" t="inlineStr">
        <is>
          <t>Cases assessed per year</t>
        </is>
      </c>
      <c r="C12" s="12">
        <f>C9*C11</f>
        <v/>
      </c>
      <c r="D12" s="9" t="inlineStr">
        <is>
          <t>cases</t>
        </is>
      </c>
      <c r="E12" s="10" t="inlineStr">
        <is>
          <t>Every assessed case costs underwriting effort whether or not it completes.</t>
        </is>
      </c>
    </row>
    <row r="13" ht="16" customHeight="1">
      <c r="B13" s="5" t="inlineStr">
        <is>
          <t>PRICING &amp; REVENUE</t>
        </is>
      </c>
      <c r="C13" s="6" t="n"/>
      <c r="D13" s="6" t="n"/>
      <c r="E13" s="6" t="n"/>
    </row>
    <row r="14" ht="30" customHeight="1">
      <c r="B14" s="7" t="inlineStr">
        <is>
          <t>Borrower interest rate (monthly)</t>
        </is>
      </c>
      <c r="C14" s="15" t="n">
        <v>0.008999999999999999</v>
      </c>
      <c r="D14" s="9" t="inlineStr">
        <is>
          <t>% / month</t>
        </is>
      </c>
      <c r="E14" s="10" t="inlineStr">
        <is>
          <t>Founder calculator: 0.95%/month fixed on a medium refurb (variable option BoE 4.25% + 0.51%/mo = 10.37% pa). Market average 0.81–0.84% (Bridging Trends). 0.90% blended used.</t>
        </is>
      </c>
    </row>
    <row r="15" ht="30" customHeight="1">
      <c r="B15" s="7" t="inlineStr">
        <is>
          <t>Borrower interest rate (annualised, simple)</t>
        </is>
      </c>
      <c r="C15" s="16">
        <f>C14*12</f>
        <v/>
      </c>
      <c r="D15" s="9" t="inlineStr">
        <is>
          <t>% pa</t>
        </is>
      </c>
      <c r="E15" s="10" t="inlineStr">
        <is>
          <t>Simple ×12. Founder calculator effective rate 11.98% pa on 0.95%/mo.</t>
        </is>
      </c>
    </row>
    <row r="16" ht="30" customHeight="1">
      <c r="B16" s="7" t="inlineStr">
        <is>
          <t>Arrangement fee charged to borrower</t>
        </is>
      </c>
      <c r="C16" s="17" t="n">
        <v>0.02</v>
      </c>
      <c r="D16" s="9" t="inlineStr">
        <is>
          <t>% of loan</t>
        </is>
      </c>
      <c r="E16" s="10" t="inlineStr">
        <is>
          <t>Founder calculator: 2% of gross loan ('Lender &amp; Broker Fee').</t>
        </is>
      </c>
    </row>
    <row r="17" ht="30" customHeight="1">
      <c r="B17" s="7" t="inlineStr">
        <is>
          <t>Arrangement fee retained by lender (after introducer share)</t>
        </is>
      </c>
      <c r="C17" s="17" t="n">
        <v>0.005</v>
      </c>
      <c r="D17" s="9" t="inlineStr">
        <is>
          <t>% of loan</t>
        </is>
      </c>
      <c r="E17" s="10" t="inlineStr">
        <is>
          <t>Founder calculator: on the example deal 0% retained, 2% paid as 'introducer share'. Founder: broker payout 1–2%. 0.5% retained assumed — change if your typical split differs.</t>
        </is>
      </c>
    </row>
    <row r="18" ht="30" customHeight="1">
      <c r="B18" s="7" t="inlineStr">
        <is>
          <t>Admin fee per loan (retained)</t>
        </is>
      </c>
      <c r="C18" s="18" t="n">
        <v>1500</v>
      </c>
      <c r="D18" s="9" t="inlineStr">
        <is>
          <t>£</t>
        </is>
      </c>
      <c r="E18" s="10" t="inlineStr">
        <is>
          <t>Founder calculator: £1,995 (&lt;£100k), £1,500 (£100–250k), £1,250 (&gt;£250k) automatic admin fee. £1,500 blended.</t>
        </is>
      </c>
    </row>
    <row r="19" ht="30" customHeight="1">
      <c r="B19" s="7" t="inlineStr">
        <is>
          <t>Redemption + drawdown fees per loan</t>
        </is>
      </c>
      <c r="C19" s="18" t="n">
        <v>1500</v>
      </c>
      <c r="D19" s="9" t="inlineStr">
        <is>
          <t>£</t>
        </is>
      </c>
      <c r="E19" s="10" t="inlineStr">
        <is>
          <t>Founder calculator: redemption fee £495; drawdown fee £295/month on refurb/development. ~£1,500 per loan blended.</t>
        </is>
      </c>
    </row>
    <row r="20" ht="30" customHeight="1">
      <c r="B20" s="7" t="inlineStr">
        <is>
          <t>Exit fee</t>
        </is>
      </c>
      <c r="C20" s="19" t="n">
        <v>0</v>
      </c>
      <c r="D20" s="9" t="inlineStr">
        <is>
          <t>% of loan</t>
        </is>
      </c>
      <c r="E20" s="10" t="inlineStr">
        <is>
          <t>Founder calculator: 0%. Some lenders charge 0–1%.</t>
        </is>
      </c>
    </row>
    <row r="21" ht="30" customHeight="1">
      <c r="B21" s="7" t="inlineStr">
        <is>
          <t>Other fees (extension, variation, non-redemption)</t>
        </is>
      </c>
      <c r="C21" s="19" t="n">
        <v>0.002</v>
      </c>
      <c r="D21" s="9" t="inlineStr">
        <is>
          <t>% of originations</t>
        </is>
      </c>
      <c r="E21" s="10" t="inlineStr">
        <is>
          <t>Founder estimate; extension/variation fees exist but are not systematic.</t>
        </is>
      </c>
    </row>
    <row r="22" ht="30" customHeight="1">
      <c r="B22" s="7" t="inlineStr">
        <is>
          <t>Share of loans introduced by brokers</t>
        </is>
      </c>
      <c r="C22" s="19" t="n">
        <v>0.85</v>
      </c>
      <c r="D22" s="9" t="inlineStr">
        <is>
          <t>%</t>
        </is>
      </c>
      <c r="E22" s="10" t="inlineStr">
        <is>
          <t>BDLA/Interpath 2026 survey: 61% of lenders name brokers as primary channel, 15% direct → ~85% broker-introduced. Broker fee is already netted in 'retained' above.</t>
        </is>
      </c>
    </row>
    <row r="23" ht="16" customHeight="1">
      <c r="B23" s="5" t="inlineStr">
        <is>
          <t>FUNDING &amp; RISK</t>
        </is>
      </c>
      <c r="C23" s="6" t="n"/>
      <c r="D23" s="6" t="n"/>
      <c r="E23" s="6" t="n"/>
    </row>
    <row r="24" ht="30" customHeight="1">
      <c r="B24" s="7" t="inlineStr">
        <is>
          <t>Funding partner buy rate (cost of funds, annual)</t>
        </is>
      </c>
      <c r="C24" s="15" t="n">
        <v>0.08749999999999999</v>
      </c>
      <c r="D24" s="9" t="inlineStr">
        <is>
          <t>% pa</t>
        </is>
      </c>
      <c r="E24" s="10" t="inlineStr">
        <is>
          <t>Founder calculator rate card: institutional partner 8.25–9.75% depending on product and advance rate (8.75% on the example); bank line = BoE + 4.3–4.8%. 8.75% used.</t>
        </is>
      </c>
    </row>
    <row r="25" ht="30" customHeight="1">
      <c r="B25" s="7" t="inlineStr">
        <is>
          <t>Share of book funded by partners</t>
        </is>
      </c>
      <c r="C25" s="19" t="n">
        <v>0.95</v>
      </c>
      <c r="D25" s="9" t="inlineStr">
        <is>
          <t>%</t>
        </is>
      </c>
      <c r="E25" s="10" t="inlineStr">
        <is>
          <t>Founder calculator: partner advance rate 95%, lender first-loss 5%.</t>
        </is>
      </c>
    </row>
    <row r="26" ht="30" customHeight="1">
      <c r="B26" s="7" t="inlineStr">
        <is>
          <t>Funder fee per loan</t>
        </is>
      </c>
      <c r="C26" s="18" t="n">
        <v>500</v>
      </c>
      <c r="D26" s="9" t="inlineStr">
        <is>
          <t>£</t>
        </is>
      </c>
      <c r="E26" s="10" t="inlineStr">
        <is>
          <t>Founder calculator: £500 partner fee per deal.</t>
        </is>
      </c>
    </row>
    <row r="27" ht="30" customHeight="1">
      <c r="B27" s="7" t="inlineStr">
        <is>
          <t>Expected credit loss (annual, % of book)</t>
        </is>
      </c>
      <c r="C27" s="15" t="n">
        <v>0.005</v>
      </c>
      <c r="D27" s="9" t="inlineStr">
        <is>
          <t>% pa</t>
        </is>
      </c>
      <c r="E27" s="10" t="inlineStr">
        <is>
          <t>Founder estimate; comparator claims 0 capital losses over 7 years; BDLA default rates typically &lt;1%. 0.5% is prudent.</t>
        </is>
      </c>
    </row>
    <row r="28" ht="16" customHeight="1">
      <c r="B28" s="5" t="inlineStr">
        <is>
          <t>EMPLOYMENT ON-COSTS (2026/27)</t>
        </is>
      </c>
      <c r="C28" s="6" t="n"/>
      <c r="D28" s="6" t="n"/>
      <c r="E28" s="6" t="n"/>
    </row>
    <row r="29" ht="30" customHeight="1">
      <c r="B29" s="7" t="inlineStr">
        <is>
          <t>Employer National Insurance rate</t>
        </is>
      </c>
      <c r="C29" s="19" t="n">
        <v>0.15</v>
      </c>
      <c r="D29" s="9" t="inlineStr">
        <is>
          <t>%</t>
        </is>
      </c>
      <c r="E29" s="10" t="inlineStr">
        <is>
          <t>15% above secondary threshold (unchanged from April 2025).</t>
        </is>
      </c>
    </row>
    <row r="30" ht="30" customHeight="1">
      <c r="B30" s="7" t="inlineStr">
        <is>
          <t>NI secondary threshold</t>
        </is>
      </c>
      <c r="C30" s="18" t="n">
        <v>5000</v>
      </c>
      <c r="D30" s="9" t="inlineStr">
        <is>
          <t>£ pa</t>
        </is>
      </c>
      <c r="E30" s="10" t="inlineStr">
        <is>
          <t>£5,000 per employee per year, frozen to 2030–31.</t>
        </is>
      </c>
    </row>
    <row r="31" ht="30" customHeight="1">
      <c r="B31" s="7" t="inlineStr">
        <is>
          <t>Employer pension contribution</t>
        </is>
      </c>
      <c r="C31" s="19" t="n">
        <v>0.05</v>
      </c>
      <c r="D31" s="9" t="inlineStr">
        <is>
          <t>% of salary</t>
        </is>
      </c>
      <c r="E31" s="10" t="inlineStr">
        <is>
          <t>Auto-enrolment minimum 3%; 5% typical for a financial-services employer.</t>
        </is>
      </c>
    </row>
    <row r="32" ht="30" customHeight="1">
      <c r="B32" s="7" t="inlineStr">
        <is>
          <t>Other on-costs (benefits, kit, recruitment, software seats)</t>
        </is>
      </c>
      <c r="C32" s="19" t="n">
        <v>0.08</v>
      </c>
      <c r="D32" s="9" t="inlineStr">
        <is>
          <t>% of salary</t>
        </is>
      </c>
      <c r="E32" s="10" t="inlineStr">
        <is>
          <t>All-in multiplier 1.25–1.4x is typical (Grove HR); NI 15% + pension 5% + 8% other ≈ 1.28x.</t>
        </is>
      </c>
    </row>
    <row r="33" ht="30" customHeight="1">
      <c r="B33" s="7" t="inlineStr">
        <is>
          <t>Office cost per desk per year</t>
        </is>
      </c>
      <c r="C33" s="18" t="n">
        <v>9600</v>
      </c>
      <c r="D33" s="9" t="inlineStr">
        <is>
          <t>£ pa</t>
        </is>
      </c>
      <c r="E33" s="10" t="inlineStr">
        <is>
          <t>London serviced office £700–900/desk/month City; £800 used.</t>
        </is>
      </c>
    </row>
    <row r="34" ht="30" customHeight="1">
      <c r="B34" s="7" t="inlineStr">
        <is>
          <t>Software &amp; data per employee per year</t>
        </is>
      </c>
      <c r="C34" s="18" t="n">
        <v>3000</v>
      </c>
      <c r="D34" s="9" t="inlineStr">
        <is>
          <t>£ pa</t>
        </is>
      </c>
      <c r="E34" s="10" t="inlineStr">
        <is>
          <t>CRM/LOS seat £1–3k plus general tooling.</t>
        </is>
      </c>
    </row>
    <row r="35" ht="16" customHeight="1">
      <c r="B35" s="5" t="inlineStr">
        <is>
          <t>AI-NATIVE OPERATING COSTS</t>
        </is>
      </c>
      <c r="C35" s="6" t="n"/>
      <c r="D35" s="6" t="n"/>
      <c r="E35" s="6" t="n"/>
    </row>
    <row r="36" ht="30" customHeight="1">
      <c r="B36" s="7" t="inlineStr">
        <is>
          <t>Model (LLM) cost per assessed case</t>
        </is>
      </c>
      <c r="C36" s="8" t="n">
        <v>16</v>
      </c>
      <c r="D36" s="9" t="inlineStr">
        <is>
          <t>£</t>
        </is>
      </c>
      <c r="E36" s="10" t="inlineStr">
        <is>
          <t>Anthropic list prices Jun 2026: Opus 5 $5/$25 per M tokens; ~300k input + 20k output tokens per case ≈ $2. ×10 safety factor for retries, tools, re-underwrites, evals = $20 ≈ £16 at $1.30/£.</t>
        </is>
      </c>
    </row>
    <row r="37" ht="30" customHeight="1">
      <c r="B37" s="7" t="inlineStr">
        <is>
          <t>Data &amp; verification per assessed case</t>
        </is>
      </c>
      <c r="C37" s="18" t="n">
        <v>50</v>
      </c>
      <c r="D37" s="9" t="inlineStr">
        <is>
          <t>£</t>
        </is>
      </c>
      <c r="E37" s="10" t="inlineStr">
        <is>
          <t>Land Registry £7/doc (£14–28), KYC £2–6, company credit £5–15, AVM £10–25, consumer credit £1–5 → £40–80.</t>
        </is>
      </c>
    </row>
    <row r="38" ht="30" customHeight="1">
      <c r="B38" s="7" t="inlineStr">
        <is>
          <t>Platform, hosting, monitoring per year</t>
        </is>
      </c>
      <c r="C38" s="18" t="n">
        <v>60000</v>
      </c>
      <c r="D38" s="9" t="inlineStr">
        <is>
          <t>£ pa</t>
        </is>
      </c>
      <c r="E38" s="10" t="inlineStr">
        <is>
          <t>Founder estimate: cloud, observability, model evals, security tooling for a regulated lender.</t>
        </is>
      </c>
    </row>
    <row r="39" ht="30" customHeight="1">
      <c r="B39" s="7" t="inlineStr">
        <is>
          <t>Human review time per assessed case (AI-native)</t>
        </is>
      </c>
      <c r="C39" s="14" t="n">
        <v>1.5</v>
      </c>
      <c r="D39" s="9" t="inlineStr">
        <is>
          <t>hours</t>
        </is>
      </c>
      <c r="E39" s="10" t="inlineStr">
        <is>
          <t>Underwriter reviews the AI-drafted pack and decides. Founder estimate.</t>
        </is>
      </c>
    </row>
    <row r="40" ht="30" customHeight="1">
      <c r="B40" s="7" t="inlineStr">
        <is>
          <t>Underwriter time per assessed case (traditional)</t>
        </is>
      </c>
      <c r="C40" s="20" t="n">
        <v>12</v>
      </c>
      <c r="D40" s="9" t="inlineStr">
        <is>
          <t>hours</t>
        </is>
      </c>
      <c r="E40" s="10" t="inlineStr">
        <is>
          <t>Founder estimate: 15–23 live cases, ~2 completions/month, ~50% of week on document work. Includes reading, reconciling, chasing, credit paper.</t>
        </is>
      </c>
    </row>
    <row r="41" ht="30" customHeight="1">
      <c r="B41" s="7" t="inlineStr">
        <is>
          <t>Working hours per FTE per year</t>
        </is>
      </c>
      <c r="C41" s="11" t="n">
        <v>1650</v>
      </c>
      <c r="D41" s="9" t="inlineStr">
        <is>
          <t>hours</t>
        </is>
      </c>
      <c r="E41" s="10" t="inlineStr">
        <is>
          <t>37.5 h/week × 44 productive weeks.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8" customWidth="1" min="4" max="4"/>
    <col width="14" customWidth="1" min="5" max="5"/>
    <col width="10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  <col width="40" customWidth="1" min="12" max="12"/>
  </cols>
  <sheetData>
    <row r="2">
      <c r="B2" s="1" t="inlineStr">
        <is>
          <t>Northgate Bridging (composite) — 36-person traditional lender</t>
        </is>
      </c>
    </row>
    <row r="3">
      <c r="B3" s="9" t="inlineStr">
        <is>
          <t>Team shape from founder's knowledge of a typical mid-size lender: 10 credit, 8 portfolio, 6 sales, 4 marketing, 5 management, 4 tech. Salaries = London 2025–26 benchmarks (see Sources).</t>
        </is>
      </c>
    </row>
    <row r="5">
      <c r="B5" s="4" t="inlineStr">
        <is>
          <t>Function</t>
        </is>
      </c>
      <c r="C5" s="4" t="inlineStr">
        <is>
          <t>Role</t>
        </is>
      </c>
      <c r="D5" s="4" t="inlineStr">
        <is>
          <t>FTE</t>
        </is>
      </c>
      <c r="E5" s="4" t="inlineStr">
        <is>
          <t>Base salary (each)</t>
        </is>
      </c>
      <c r="F5" s="4" t="inlineStr">
        <is>
          <t>Bonus %</t>
        </is>
      </c>
      <c r="G5" s="4" t="inlineStr">
        <is>
          <t>Base total</t>
        </is>
      </c>
      <c r="H5" s="4" t="inlineStr">
        <is>
          <t>Bonus total</t>
        </is>
      </c>
      <c r="I5" s="4" t="inlineStr">
        <is>
          <t>Employer NI</t>
        </is>
      </c>
      <c r="J5" s="4" t="inlineStr">
        <is>
          <t>Pension + other</t>
        </is>
      </c>
      <c r="K5" s="4" t="inlineStr">
        <is>
          <t>Fully loaded cost</t>
        </is>
      </c>
      <c r="L5" s="4" t="inlineStr">
        <is>
          <t>Basis</t>
        </is>
      </c>
    </row>
    <row r="6">
      <c r="B6" s="7" t="inlineStr">
        <is>
          <t>Credit</t>
        </is>
      </c>
      <c r="C6" s="7" t="inlineStr">
        <is>
          <t>Head of Credit</t>
        </is>
      </c>
      <c r="D6" s="14" t="n">
        <v>1</v>
      </c>
      <c r="E6" s="18" t="n">
        <v>115000</v>
      </c>
      <c r="F6" s="19" t="n">
        <v>0.25</v>
      </c>
      <c r="G6" s="13">
        <f>D6*E6</f>
        <v/>
      </c>
      <c r="H6" s="13">
        <f>G6*F6</f>
        <v/>
      </c>
      <c r="I6" s="13">
        <f>MAX(0,(E6+E6*F6)-Assumptions!$C$30)*Assumptions!$C$29*D6</f>
        <v/>
      </c>
      <c r="J6" s="13">
        <f>(G6+H6)*(Assumptions!$C$31+Assumptions!$C$32)</f>
        <v/>
      </c>
      <c r="K6" s="13">
        <f>G6+H6+I6+J6</f>
        <v/>
      </c>
      <c r="L6" s="9" t="inlineStr">
        <is>
          <t>Head of Credit, bridging/dev lender London £100–130k (jobsite; Morgan McKinley). EST.</t>
        </is>
      </c>
    </row>
    <row r="7">
      <c r="B7" s="7" t="inlineStr">
        <is>
          <t>Credit</t>
        </is>
      </c>
      <c r="C7" s="7" t="inlineStr">
        <is>
          <t>Senior underwriter (bridging + development)</t>
        </is>
      </c>
      <c r="D7" s="14" t="n">
        <v>2</v>
      </c>
      <c r="E7" s="18" t="n">
        <v>75000</v>
      </c>
      <c r="F7" s="19" t="n">
        <v>0.15</v>
      </c>
      <c r="G7" s="13">
        <f>D7*E7</f>
        <v/>
      </c>
      <c r="H7" s="13">
        <f>G7*F7</f>
        <v/>
      </c>
      <c r="I7" s="13">
        <f>MAX(0,(E7+E7*F7)-Assumptions!$C$30)*Assumptions!$C$29*D7</f>
        <v/>
      </c>
      <c r="J7" s="13">
        <f>(G7+H7)*(Assumptions!$C$31+Assumptions!$C$32)</f>
        <v/>
      </c>
      <c r="K7" s="13">
        <f>G7+H7+I7+J7</f>
        <v/>
      </c>
      <c r="L7" s="9" t="inlineStr">
        <is>
          <t>Senior bridging UW £70–80k + 10–20% (exec-appointments; Fintelligent).</t>
        </is>
      </c>
    </row>
    <row r="8">
      <c r="B8" s="7" t="inlineStr">
        <is>
          <t>Credit</t>
        </is>
      </c>
      <c r="C8" s="7" t="inlineStr">
        <is>
          <t>Credit analyst / underwriter (mid)</t>
        </is>
      </c>
      <c r="D8" s="14" t="n">
        <v>4</v>
      </c>
      <c r="E8" s="18" t="n">
        <v>55000</v>
      </c>
      <c r="F8" s="19" t="n">
        <v>0.15</v>
      </c>
      <c r="G8" s="13">
        <f>D8*E8</f>
        <v/>
      </c>
      <c r="H8" s="13">
        <f>G8*F8</f>
        <v/>
      </c>
      <c r="I8" s="13">
        <f>MAX(0,(E8+E8*F8)-Assumptions!$C$30)*Assumptions!$C$29*D8</f>
        <v/>
      </c>
      <c r="J8" s="13">
        <f>(G8+H8)*(Assumptions!$C$31+Assumptions!$C$32)</f>
        <v/>
      </c>
      <c r="K8" s="13">
        <f>G8+H8+I8+J8</f>
        <v/>
      </c>
      <c r="L8" s="9" t="inlineStr">
        <is>
          <t>Mid UW £45–65k + 10–20% (Tandem; Fintelligent job ads).</t>
        </is>
      </c>
    </row>
    <row r="9">
      <c r="B9" s="7" t="inlineStr">
        <is>
          <t>Credit</t>
        </is>
      </c>
      <c r="C9" s="7" t="inlineStr">
        <is>
          <t>Junior credit analyst</t>
        </is>
      </c>
      <c r="D9" s="14" t="n">
        <v>3</v>
      </c>
      <c r="E9" s="18" t="n">
        <v>37500</v>
      </c>
      <c r="F9" s="19" t="n">
        <v>0.05</v>
      </c>
      <c r="G9" s="13">
        <f>D9*E9</f>
        <v/>
      </c>
      <c r="H9" s="13">
        <f>G9*F9</f>
        <v/>
      </c>
      <c r="I9" s="13">
        <f>MAX(0,(E9+E9*F9)-Assumptions!$C$30)*Assumptions!$C$29*D9</f>
        <v/>
      </c>
      <c r="J9" s="13">
        <f>(G9+H9)*(Assumptions!$C$31+Assumptions!$C$32)</f>
        <v/>
      </c>
      <c r="K9" s="13">
        <f>G9+H9+I9+J9</f>
        <v/>
      </c>
      <c r="L9" s="9" t="inlineStr">
        <is>
          <t>Junior bridging UW £30–45k (Fame Recruitment ad; talent.com).</t>
        </is>
      </c>
    </row>
    <row r="10">
      <c r="B10" s="7" t="inlineStr">
        <is>
          <t>Portfolio</t>
        </is>
      </c>
      <c r="C10" s="7" t="inlineStr">
        <is>
          <t>Portfolio manager</t>
        </is>
      </c>
      <c r="D10" s="14" t="n">
        <v>1</v>
      </c>
      <c r="E10" s="18" t="n">
        <v>57500</v>
      </c>
      <c r="F10" s="19" t="n">
        <v>0.125</v>
      </c>
      <c r="G10" s="13">
        <f>D10*E10</f>
        <v/>
      </c>
      <c r="H10" s="13">
        <f>G10*F10</f>
        <v/>
      </c>
      <c r="I10" s="13">
        <f>MAX(0,(E10+E10*F10)-Assumptions!$C$30)*Assumptions!$C$29*D10</f>
        <v/>
      </c>
      <c r="J10" s="13">
        <f>(G10+H10)*(Assumptions!$C$31+Assumptions!$C$32)</f>
        <v/>
      </c>
      <c r="K10" s="13">
        <f>G10+H10+I10+J10</f>
        <v/>
      </c>
      <c r="L10" s="9" t="inlineStr">
        <is>
          <t>Portfolio Manager bridging up to £60–65k + bonus (Reed; Fintelligent).</t>
        </is>
      </c>
    </row>
    <row r="11">
      <c r="B11" s="7" t="inlineStr">
        <is>
          <t>Portfolio</t>
        </is>
      </c>
      <c r="C11" s="7" t="inlineStr">
        <is>
          <t>Completions / case manager</t>
        </is>
      </c>
      <c r="D11" s="14" t="n">
        <v>3</v>
      </c>
      <c r="E11" s="18" t="n">
        <v>42500</v>
      </c>
      <c r="F11" s="19" t="n">
        <v>0.05</v>
      </c>
      <c r="G11" s="13">
        <f>D11*E11</f>
        <v/>
      </c>
      <c r="H11" s="13">
        <f>G11*F11</f>
        <v/>
      </c>
      <c r="I11" s="13">
        <f>MAX(0,(E11+E11*F11)-Assumptions!$C$30)*Assumptions!$C$29*D11</f>
        <v/>
      </c>
      <c r="J11" s="13">
        <f>(G11+H11)*(Assumptions!$C$31+Assumptions!$C$32)</f>
        <v/>
      </c>
      <c r="K11" s="13">
        <f>G11+H11+I11+J11</f>
        <v/>
      </c>
      <c r="L11" s="9" t="inlineStr">
        <is>
          <t>Completions specialist up to £40k (+London uplift); case manager £30–35k (NRG).</t>
        </is>
      </c>
    </row>
    <row r="12">
      <c r="B12" s="7" t="inlineStr">
        <is>
          <t>Portfolio</t>
        </is>
      </c>
      <c r="C12" s="7" t="inlineStr">
        <is>
          <t>Loan administrator / servicing</t>
        </is>
      </c>
      <c r="D12" s="14" t="n">
        <v>4</v>
      </c>
      <c r="E12" s="18" t="n">
        <v>32000</v>
      </c>
      <c r="F12" s="19" t="n">
        <v>0.025</v>
      </c>
      <c r="G12" s="13">
        <f>D12*E12</f>
        <v/>
      </c>
      <c r="H12" s="13">
        <f>G12*F12</f>
        <v/>
      </c>
      <c r="I12" s="13">
        <f>MAX(0,(E12+E12*F12)-Assumptions!$C$30)*Assumptions!$C$29*D12</f>
        <v/>
      </c>
      <c r="J12" s="13">
        <f>(G12+H12)*(Assumptions!$C$31+Assumptions!$C$32)</f>
        <v/>
      </c>
      <c r="K12" s="13">
        <f>G12+H12+I12+J12</f>
        <v/>
      </c>
      <c r="L12" s="9" t="inlineStr">
        <is>
          <t>Loan admin £26–38k London (Indeed; PayScale).</t>
        </is>
      </c>
    </row>
    <row r="13">
      <c r="B13" s="7" t="inlineStr">
        <is>
          <t>Sales</t>
        </is>
      </c>
      <c r="C13" s="7" t="inlineStr">
        <is>
          <t>Head of Sales</t>
        </is>
      </c>
      <c r="D13" s="14" t="n">
        <v>1</v>
      </c>
      <c r="E13" s="18" t="n">
        <v>110000</v>
      </c>
      <c r="F13" s="19" t="n">
        <v>0.35</v>
      </c>
      <c r="G13" s="13">
        <f>D13*E13</f>
        <v/>
      </c>
      <c r="H13" s="13">
        <f>G13*F13</f>
        <v/>
      </c>
      <c r="I13" s="13">
        <f>MAX(0,(E13+E13*F13)-Assumptions!$C$30)*Assumptions!$C$29*D13</f>
        <v/>
      </c>
      <c r="J13" s="13">
        <f>(G13+H13)*(Assumptions!$C$31+Assumptions!$C$32)</f>
        <v/>
      </c>
      <c r="K13" s="13">
        <f>G13+H13+I13+J13</f>
        <v/>
      </c>
      <c r="L13" s="9" t="inlineStr">
        <is>
          <t>Head of Sales London avg £104k, 30–40% variable (Glassdoor; sales-director norm). EST.</t>
        </is>
      </c>
    </row>
    <row r="14">
      <c r="B14" s="7" t="inlineStr">
        <is>
          <t>Sales</t>
        </is>
      </c>
      <c r="C14" s="7" t="inlineStr">
        <is>
          <t>Senior BDM / originator</t>
        </is>
      </c>
      <c r="D14" s="14" t="n">
        <v>2</v>
      </c>
      <c r="E14" s="18" t="n">
        <v>85000</v>
      </c>
      <c r="F14" s="19" t="n">
        <v>0.6</v>
      </c>
      <c r="G14" s="13">
        <f>D14*E14</f>
        <v/>
      </c>
      <c r="H14" s="13">
        <f>G14*F14</f>
        <v/>
      </c>
      <c r="I14" s="13">
        <f>MAX(0,(E14+E14*F14)-Assumptions!$C$30)*Assumptions!$C$29*D14</f>
        <v/>
      </c>
      <c r="J14" s="13">
        <f>(G14+H14)*(Assumptions!$C$31+Assumptions!$C$32)</f>
        <v/>
      </c>
      <c r="K14" s="13">
        <f>G14+H14+I14+J14</f>
        <v/>
      </c>
      <c r="L14" s="9" t="inlineStr">
        <is>
          <t>Originator £75–85k + bonus up to 100% (Fintelligent); £90k + uncapped (jobsite).</t>
        </is>
      </c>
    </row>
    <row r="15">
      <c r="B15" s="7" t="inlineStr">
        <is>
          <t>Sales</t>
        </is>
      </c>
      <c r="C15" s="7" t="inlineStr">
        <is>
          <t>BDM</t>
        </is>
      </c>
      <c r="D15" s="14" t="n">
        <v>3</v>
      </c>
      <c r="E15" s="18" t="n">
        <v>65000</v>
      </c>
      <c r="F15" s="19" t="n">
        <v>0.4</v>
      </c>
      <c r="G15" s="13">
        <f>D15*E15</f>
        <v/>
      </c>
      <c r="H15" s="13">
        <f>G15*F15</f>
        <v/>
      </c>
      <c r="I15" s="13">
        <f>MAX(0,(E15+E15*F15)-Assumptions!$C$30)*Assumptions!$C$29*D15</f>
        <v/>
      </c>
      <c r="J15" s="13">
        <f>(G15+H15)*(Assumptions!$C$31+Assumptions!$C$32)</f>
        <v/>
      </c>
      <c r="K15" s="13">
        <f>G15+H15+I15+J15</f>
        <v/>
      </c>
      <c r="L15" s="9" t="inlineStr">
        <is>
          <t>BDM bridging up to £65k + 20% bonus; £60–80k + OTE 1.3–1.8x (Fintelligent; Totaljobs).</t>
        </is>
      </c>
    </row>
    <row r="16">
      <c r="B16" s="7" t="inlineStr">
        <is>
          <t>Marketing</t>
        </is>
      </c>
      <c r="C16" s="7" t="inlineStr">
        <is>
          <t>Marketing manager</t>
        </is>
      </c>
      <c r="D16" s="14" t="n">
        <v>1</v>
      </c>
      <c r="E16" s="18" t="n">
        <v>48000</v>
      </c>
      <c r="F16" s="19" t="n">
        <v>0.075</v>
      </c>
      <c r="G16" s="13">
        <f>D16*E16</f>
        <v/>
      </c>
      <c r="H16" s="13">
        <f>G16*F16</f>
        <v/>
      </c>
      <c r="I16" s="13">
        <f>MAX(0,(E16+E16*F16)-Assumptions!$C$30)*Assumptions!$C$29*D16</f>
        <v/>
      </c>
      <c r="J16" s="13">
        <f>(G16+H16)*(Assumptions!$C$31+Assumptions!$C$32)</f>
        <v/>
      </c>
      <c r="K16" s="13">
        <f>G16+H16+I16+J16</f>
        <v/>
      </c>
      <c r="L16" s="9" t="inlineStr">
        <is>
          <t>Marketing manager London avg £48k (Glassdoor).</t>
        </is>
      </c>
    </row>
    <row r="17">
      <c r="B17" s="7" t="inlineStr">
        <is>
          <t>Marketing</t>
        </is>
      </c>
      <c r="C17" s="7" t="inlineStr">
        <is>
          <t>Marketing executive</t>
        </is>
      </c>
      <c r="D17" s="14" t="n">
        <v>3</v>
      </c>
      <c r="E17" s="18" t="n">
        <v>36000</v>
      </c>
      <c r="F17" s="19" t="n">
        <v>0.025</v>
      </c>
      <c r="G17" s="13">
        <f>D17*E17</f>
        <v/>
      </c>
      <c r="H17" s="13">
        <f>G17*F17</f>
        <v/>
      </c>
      <c r="I17" s="13">
        <f>MAX(0,(E17+E17*F17)-Assumptions!$C$30)*Assumptions!$C$29*D17</f>
        <v/>
      </c>
      <c r="J17" s="13">
        <f>(G17+H17)*(Assumptions!$C$31+Assumptions!$C$32)</f>
        <v/>
      </c>
      <c r="K17" s="13">
        <f>G17+H17+I17+J17</f>
        <v/>
      </c>
      <c r="L17" s="9" t="inlineStr">
        <is>
          <t>Marketing executive London avg £36k (Glassdoor).</t>
        </is>
      </c>
    </row>
    <row r="18">
      <c r="B18" s="7" t="inlineStr">
        <is>
          <t>Management</t>
        </is>
      </c>
      <c r="C18" s="7" t="inlineStr">
        <is>
          <t>CEO / Managing Director</t>
        </is>
      </c>
      <c r="D18" s="14" t="n">
        <v>1</v>
      </c>
      <c r="E18" s="18" t="n">
        <v>200000</v>
      </c>
      <c r="F18" s="19" t="n">
        <v>0.4</v>
      </c>
      <c r="G18" s="13">
        <f>D18*E18</f>
        <v/>
      </c>
      <c r="H18" s="13">
        <f>G18*F18</f>
        <v/>
      </c>
      <c r="I18" s="13">
        <f>MAX(0,(E18+E18*F18)-Assumptions!$C$30)*Assumptions!$C$29*D18</f>
        <v/>
      </c>
      <c r="J18" s="13">
        <f>(G18+H18)*(Assumptions!$C$31+Assumptions!$C$32)</f>
        <v/>
      </c>
      <c r="K18" s="13">
        <f>G18+H18+I18+J18</f>
        <v/>
      </c>
      <c r="L18" s="9" t="inlineStr">
        <is>
          <t>CEO &lt;£50m revenue £150–250k, 30–50% bonus (Exec Capital). EST.</t>
        </is>
      </c>
    </row>
    <row r="19">
      <c r="B19" s="7" t="inlineStr">
        <is>
          <t>Management</t>
        </is>
      </c>
      <c r="C19" s="7" t="inlineStr">
        <is>
          <t>CFO / Finance Director</t>
        </is>
      </c>
      <c r="D19" s="14" t="n">
        <v>1</v>
      </c>
      <c r="E19" s="18" t="n">
        <v>140000</v>
      </c>
      <c r="F19" s="19" t="n">
        <v>0.225</v>
      </c>
      <c r="G19" s="13">
        <f>D19*E19</f>
        <v/>
      </c>
      <c r="H19" s="13">
        <f>G19*F19</f>
        <v/>
      </c>
      <c r="I19" s="13">
        <f>MAX(0,(E19+E19*F19)-Assumptions!$C$30)*Assumptions!$C$29*D19</f>
        <v/>
      </c>
      <c r="J19" s="13">
        <f>(G19+H19)*(Assumptions!$C$31+Assumptions!$C$32)</f>
        <v/>
      </c>
      <c r="K19" s="13">
        <f>G19+H19+I19+J19</f>
        <v/>
      </c>
      <c r="L19" s="9" t="inlineStr">
        <is>
          <t>SME CFO £110–170k with FS premium (FD Capital). EST.</t>
        </is>
      </c>
    </row>
    <row r="20">
      <c r="B20" s="7" t="inlineStr">
        <is>
          <t>Management</t>
        </is>
      </c>
      <c r="C20" s="7" t="inlineStr">
        <is>
          <t>COO / Operations Director</t>
        </is>
      </c>
      <c r="D20" s="14" t="n">
        <v>1</v>
      </c>
      <c r="E20" s="18" t="n">
        <v>100000</v>
      </c>
      <c r="F20" s="19" t="n">
        <v>0.225</v>
      </c>
      <c r="G20" s="13">
        <f>D20*E20</f>
        <v/>
      </c>
      <c r="H20" s="13">
        <f>G20*F20</f>
        <v/>
      </c>
      <c r="I20" s="13">
        <f>MAX(0,(E20+E20*F20)-Assumptions!$C$30)*Assumptions!$C$29*D20</f>
        <v/>
      </c>
      <c r="J20" s="13">
        <f>(G20+H20)*(Assumptions!$C$31+Assumptions!$C$32)</f>
        <v/>
      </c>
      <c r="K20" s="13">
        <f>G20+H20+I20+J20</f>
        <v/>
      </c>
      <c r="L20" s="9" t="inlineStr">
        <is>
          <t>Ops Director £80–120k + 15–30% (Exec Capital). EST.</t>
        </is>
      </c>
    </row>
    <row r="21">
      <c r="B21" s="7" t="inlineStr">
        <is>
          <t>Management</t>
        </is>
      </c>
      <c r="C21" s="7" t="inlineStr">
        <is>
          <t>CTO / Head of Technology</t>
        </is>
      </c>
      <c r="D21" s="14" t="n">
        <v>1</v>
      </c>
      <c r="E21" s="18" t="n">
        <v>115000</v>
      </c>
      <c r="F21" s="19" t="n">
        <v>0.15</v>
      </c>
      <c r="G21" s="13">
        <f>D21*E21</f>
        <v/>
      </c>
      <c r="H21" s="13">
        <f>G21*F21</f>
        <v/>
      </c>
      <c r="I21" s="13">
        <f>MAX(0,(E21+E21*F21)-Assumptions!$C$30)*Assumptions!$C$29*D21</f>
        <v/>
      </c>
      <c r="J21" s="13">
        <f>(G21+H21)*(Assumptions!$C$31+Assumptions!$C$32)</f>
        <v/>
      </c>
      <c r="K21" s="13">
        <f>G21+H21+I21+J21</f>
        <v/>
      </c>
      <c r="L21" s="9" t="inlineStr">
        <is>
          <t>Head of Technology London avg £114k (Glassdoor). EST.</t>
        </is>
      </c>
    </row>
    <row r="22">
      <c r="B22" s="7" t="inlineStr">
        <is>
          <t>Management</t>
        </is>
      </c>
      <c r="C22" s="7" t="inlineStr">
        <is>
          <t>Compliance officer (SMF16/17)</t>
        </is>
      </c>
      <c r="D22" s="14" t="n">
        <v>1</v>
      </c>
      <c r="E22" s="18" t="n">
        <v>67500</v>
      </c>
      <c r="F22" s="19" t="n">
        <v>0.125</v>
      </c>
      <c r="G22" s="13">
        <f>D22*E22</f>
        <v/>
      </c>
      <c r="H22" s="13">
        <f>G22*F22</f>
        <v/>
      </c>
      <c r="I22" s="13">
        <f>MAX(0,(E22+E22*F22)-Assumptions!$C$30)*Assumptions!$C$29*D22</f>
        <v/>
      </c>
      <c r="J22" s="13">
        <f>(G22+H22)*(Assumptions!$C$31+Assumptions!$C$32)</f>
        <v/>
      </c>
      <c r="K22" s="13">
        <f>G22+H22+I22+J22</f>
        <v/>
      </c>
      <c r="L22" s="9" t="inlineStr">
        <is>
          <t>Compliance Officer London £60–75k (Morgan McKinley 2026).</t>
        </is>
      </c>
    </row>
    <row r="23">
      <c r="B23" s="7" t="inlineStr">
        <is>
          <t>Technology</t>
        </is>
      </c>
      <c r="C23" s="7" t="inlineStr">
        <is>
          <t>Software engineer / IT</t>
        </is>
      </c>
      <c r="D23" s="14" t="n">
        <v>4</v>
      </c>
      <c r="E23" s="18" t="n">
        <v>65000</v>
      </c>
      <c r="F23" s="19" t="n">
        <v>0.05</v>
      </c>
      <c r="G23" s="13">
        <f>D23*E23</f>
        <v/>
      </c>
      <c r="H23" s="13">
        <f>G23*F23</f>
        <v/>
      </c>
      <c r="I23" s="13">
        <f>MAX(0,(E23+E23*F23)-Assumptions!$C$30)*Assumptions!$C$29*D23</f>
        <v/>
      </c>
      <c r="J23" s="13">
        <f>(G23+H23)*(Assumptions!$C$31+Assumptions!$C$32)</f>
        <v/>
      </c>
      <c r="K23" s="13">
        <f>G23+H23+I23+J23</f>
        <v/>
      </c>
      <c r="L23" s="9" t="inlineStr">
        <is>
          <t>Software engineer London mid £50–80k (Glassdoor).</t>
        </is>
      </c>
    </row>
    <row r="24">
      <c r="B24" s="21" t="inlineStr">
        <is>
          <t>TOTAL PEOPLE COST</t>
        </is>
      </c>
      <c r="D24" s="22">
        <f>SUM(D6:D23)</f>
        <v/>
      </c>
      <c r="G24" s="23">
        <f>SUM(G6:G23)</f>
        <v/>
      </c>
      <c r="H24" s="23">
        <f>SUM(H6:H23)</f>
        <v/>
      </c>
      <c r="I24" s="23">
        <f>SUM(I6:I23)</f>
        <v/>
      </c>
      <c r="J24" s="23">
        <f>SUM(J6:J23)</f>
        <v/>
      </c>
      <c r="K24" s="23">
        <f>SUM(K6:K23)</f>
        <v/>
      </c>
    </row>
    <row r="26">
      <c r="B26" s="7" t="inlineStr">
        <is>
          <t>Office (desks × cost per desk)</t>
        </is>
      </c>
      <c r="K26" s="24">
        <f>D24*Assumptions!$C$33</f>
        <v/>
      </c>
    </row>
    <row r="27">
      <c r="B27" s="7" t="inlineStr">
        <is>
          <t>Software &amp; data seats</t>
        </is>
      </c>
      <c r="K27" s="24">
        <f>D24*Assumptions!$C$34</f>
        <v/>
      </c>
    </row>
    <row r="28">
      <c r="B28" s="7" t="inlineStr">
        <is>
          <t>Data &amp; verification (cases × £ per case)</t>
        </is>
      </c>
      <c r="K28" s="24">
        <f>Assumptions!$C$12*Assumptions!$C$37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8" customWidth="1" min="4" max="4"/>
    <col width="14" customWidth="1" min="5" max="5"/>
    <col width="10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  <col width="40" customWidth="1" min="12" max="12"/>
  </cols>
  <sheetData>
    <row r="2">
      <c r="B2" s="1" t="inlineStr">
        <is>
          <t>Verdigris — 8-person AI-native lender running the same book</t>
        </is>
      </c>
    </row>
    <row r="3">
      <c r="B3" s="9" t="inlineStr">
        <is>
          <t>AI agents do document reading, extraction, reconciliation, drafting, chasing and monitoring. Humans decide, sign off, and own relationships and compliance.</t>
        </is>
      </c>
    </row>
    <row r="5">
      <c r="B5" s="4" t="inlineStr">
        <is>
          <t>Function</t>
        </is>
      </c>
      <c r="C5" s="4" t="inlineStr">
        <is>
          <t>Role</t>
        </is>
      </c>
      <c r="D5" s="4" t="inlineStr">
        <is>
          <t>FTE</t>
        </is>
      </c>
      <c r="E5" s="4" t="inlineStr">
        <is>
          <t>Base salary (each)</t>
        </is>
      </c>
      <c r="F5" s="4" t="inlineStr">
        <is>
          <t>Bonus %</t>
        </is>
      </c>
      <c r="G5" s="4" t="inlineStr">
        <is>
          <t>Base total</t>
        </is>
      </c>
      <c r="H5" s="4" t="inlineStr">
        <is>
          <t>Bonus total</t>
        </is>
      </c>
      <c r="I5" s="4" t="inlineStr">
        <is>
          <t>Employer NI</t>
        </is>
      </c>
      <c r="J5" s="4" t="inlineStr">
        <is>
          <t>Pension + other</t>
        </is>
      </c>
      <c r="K5" s="4" t="inlineStr">
        <is>
          <t>Fully loaded cost</t>
        </is>
      </c>
      <c r="L5" s="4" t="inlineStr">
        <is>
          <t>Basis</t>
        </is>
      </c>
    </row>
    <row r="6">
      <c r="B6" s="7" t="inlineStr">
        <is>
          <t>Leadership</t>
        </is>
      </c>
      <c r="C6" s="7" t="inlineStr">
        <is>
          <t>CEO / Head of Credit (founder, underwrites)</t>
        </is>
      </c>
      <c r="D6" s="14" t="n">
        <v>1</v>
      </c>
      <c r="E6" s="18" t="n">
        <v>100000</v>
      </c>
      <c r="F6" s="19" t="n">
        <v>0</v>
      </c>
      <c r="G6" s="13">
        <f>D6*E6</f>
        <v/>
      </c>
      <c r="H6" s="13">
        <f>G6*F6</f>
        <v/>
      </c>
      <c r="I6" s="13">
        <f>MAX(0,(E6+E6*F6)-Assumptions!$C$30)*Assumptions!$C$29*D6</f>
        <v/>
      </c>
      <c r="J6" s="13">
        <f>(G6+H6)*(Assumptions!$C$31+Assumptions!$C$32)</f>
        <v/>
      </c>
      <c r="K6" s="13">
        <f>G6+H6+I6+J6</f>
        <v/>
      </c>
      <c r="L6" s="9" t="inlineStr">
        <is>
          <t>Founder salary — below market by design at seed stage.</t>
        </is>
      </c>
    </row>
    <row r="7">
      <c r="B7" s="7" t="inlineStr">
        <is>
          <t>Leadership</t>
        </is>
      </c>
      <c r="C7" s="7" t="inlineStr">
        <is>
          <t>CTO (technical co-founder)</t>
        </is>
      </c>
      <c r="D7" s="14" t="n">
        <v>1</v>
      </c>
      <c r="E7" s="18" t="n">
        <v>100000</v>
      </c>
      <c r="F7" s="19" t="n">
        <v>0</v>
      </c>
      <c r="G7" s="13">
        <f>D7*E7</f>
        <v/>
      </c>
      <c r="H7" s="13">
        <f>G7*F7</f>
        <v/>
      </c>
      <c r="I7" s="13">
        <f>MAX(0,(E7+E7*F7)-Assumptions!$C$30)*Assumptions!$C$29*D7</f>
        <v/>
      </c>
      <c r="J7" s="13">
        <f>(G7+H7)*(Assumptions!$C$31+Assumptions!$C$32)</f>
        <v/>
      </c>
      <c r="K7" s="13">
        <f>G7+H7+I7+J7</f>
        <v/>
      </c>
      <c r="L7" s="9" t="inlineStr">
        <is>
          <t>Founder salary — below market by design at seed stage.</t>
        </is>
      </c>
    </row>
    <row r="8">
      <c r="B8" s="7" t="inlineStr">
        <is>
          <t>Credit</t>
        </is>
      </c>
      <c r="C8" s="7" t="inlineStr">
        <is>
          <t>Senior underwriter (human-in-the-loop)</t>
        </is>
      </c>
      <c r="D8" s="14" t="n">
        <v>2</v>
      </c>
      <c r="E8" s="18" t="n">
        <v>75000</v>
      </c>
      <c r="F8" s="19" t="n">
        <v>0.15</v>
      </c>
      <c r="G8" s="13">
        <f>D8*E8</f>
        <v/>
      </c>
      <c r="H8" s="13">
        <f>G8*F8</f>
        <v/>
      </c>
      <c r="I8" s="13">
        <f>MAX(0,(E8+E8*F8)-Assumptions!$C$30)*Assumptions!$C$29*D8</f>
        <v/>
      </c>
      <c r="J8" s="13">
        <f>(G8+H8)*(Assumptions!$C$31+Assumptions!$C$32)</f>
        <v/>
      </c>
      <c r="K8" s="13">
        <f>G8+H8+I8+J8</f>
        <v/>
      </c>
      <c r="L8" s="9" t="inlineStr">
        <is>
          <t>Same band as traditional senior UW. Reviews AI-drafted packs, owns the decision.</t>
        </is>
      </c>
    </row>
    <row r="9">
      <c r="B9" s="7" t="inlineStr">
        <is>
          <t>Operations</t>
        </is>
      </c>
      <c r="C9" s="7" t="inlineStr">
        <is>
          <t>Completions &amp; servicing lead</t>
        </is>
      </c>
      <c r="D9" s="14" t="n">
        <v>1</v>
      </c>
      <c r="E9" s="18" t="n">
        <v>42500</v>
      </c>
      <c r="F9" s="19" t="n">
        <v>0.05</v>
      </c>
      <c r="G9" s="13">
        <f>D9*E9</f>
        <v/>
      </c>
      <c r="H9" s="13">
        <f>G9*F9</f>
        <v/>
      </c>
      <c r="I9" s="13">
        <f>MAX(0,(E9+E9*F9)-Assumptions!$C$30)*Assumptions!$C$29*D9</f>
        <v/>
      </c>
      <c r="J9" s="13">
        <f>(G9+H9)*(Assumptions!$C$31+Assumptions!$C$32)</f>
        <v/>
      </c>
      <c r="K9" s="13">
        <f>G9+H9+I9+J9</f>
        <v/>
      </c>
      <c r="L9" s="9" t="inlineStr">
        <is>
          <t>One person runs completions and servicing with automated workflow.</t>
        </is>
      </c>
    </row>
    <row r="10">
      <c r="B10" s="7" t="inlineStr">
        <is>
          <t>Compliance</t>
        </is>
      </c>
      <c r="C10" s="7" t="inlineStr">
        <is>
          <t>Compliance officer (SMF16/17)</t>
        </is>
      </c>
      <c r="D10" s="14" t="n">
        <v>1</v>
      </c>
      <c r="E10" s="18" t="n">
        <v>67500</v>
      </c>
      <c r="F10" s="19" t="n">
        <v>0.125</v>
      </c>
      <c r="G10" s="13">
        <f>D10*E10</f>
        <v/>
      </c>
      <c r="H10" s="13">
        <f>G10*F10</f>
        <v/>
      </c>
      <c r="I10" s="13">
        <f>MAX(0,(E10+E10*F10)-Assumptions!$C$30)*Assumptions!$C$29*D10</f>
        <v/>
      </c>
      <c r="J10" s="13">
        <f>(G10+H10)*(Assumptions!$C$31+Assumptions!$C$32)</f>
        <v/>
      </c>
      <c r="K10" s="13">
        <f>G10+H10+I10+J10</f>
        <v/>
      </c>
      <c r="L10" s="9" t="inlineStr">
        <is>
          <t>Regulated lender needs one regardless of size.</t>
        </is>
      </c>
    </row>
    <row r="11">
      <c r="B11" s="7" t="inlineStr">
        <is>
          <t>Sales</t>
        </is>
      </c>
      <c r="C11" s="7" t="inlineStr">
        <is>
          <t>BDM / broker relationships</t>
        </is>
      </c>
      <c r="D11" s="14" t="n">
        <v>1</v>
      </c>
      <c r="E11" s="18" t="n">
        <v>65000</v>
      </c>
      <c r="F11" s="19" t="n">
        <v>0.4</v>
      </c>
      <c r="G11" s="13">
        <f>D11*E11</f>
        <v/>
      </c>
      <c r="H11" s="13">
        <f>G11*F11</f>
        <v/>
      </c>
      <c r="I11" s="13">
        <f>MAX(0,(E11+E11*F11)-Assumptions!$C$30)*Assumptions!$C$29*D11</f>
        <v/>
      </c>
      <c r="J11" s="13">
        <f>(G11+H11)*(Assumptions!$C$31+Assumptions!$C$32)</f>
        <v/>
      </c>
      <c r="K11" s="13">
        <f>G11+H11+I11+J11</f>
        <v/>
      </c>
      <c r="L11" s="9" t="inlineStr">
        <is>
          <t>One BDM; brokers still introduce ~85% of flow.</t>
        </is>
      </c>
    </row>
    <row r="12">
      <c r="B12" s="7" t="inlineStr">
        <is>
          <t>Technology</t>
        </is>
      </c>
      <c r="C12" s="7" t="inlineStr">
        <is>
          <t>Software / ML engineer</t>
        </is>
      </c>
      <c r="D12" s="14" t="n">
        <v>1</v>
      </c>
      <c r="E12" s="18" t="n">
        <v>65000</v>
      </c>
      <c r="F12" s="19" t="n">
        <v>0.05</v>
      </c>
      <c r="G12" s="13">
        <f>D12*E12</f>
        <v/>
      </c>
      <c r="H12" s="13">
        <f>G12*F12</f>
        <v/>
      </c>
      <c r="I12" s="13">
        <f>MAX(0,(E12+E12*F12)-Assumptions!$C$30)*Assumptions!$C$29*D12</f>
        <v/>
      </c>
      <c r="J12" s="13">
        <f>(G12+H12)*(Assumptions!$C$31+Assumptions!$C$32)</f>
        <v/>
      </c>
      <c r="K12" s="13">
        <f>G12+H12+I12+J12</f>
        <v/>
      </c>
      <c r="L12" s="9" t="inlineStr">
        <is>
          <t>Maintains pipelines, evals, integrations.</t>
        </is>
      </c>
    </row>
    <row r="13">
      <c r="B13" s="21" t="inlineStr">
        <is>
          <t>TOTAL PEOPLE COST</t>
        </is>
      </c>
      <c r="D13" s="22">
        <f>SUM(D6:D12)</f>
        <v/>
      </c>
      <c r="G13" s="23">
        <f>SUM(G6:G12)</f>
        <v/>
      </c>
      <c r="H13" s="23">
        <f>SUM(H6:H12)</f>
        <v/>
      </c>
      <c r="I13" s="23">
        <f>SUM(I6:I12)</f>
        <v/>
      </c>
      <c r="J13" s="23">
        <f>SUM(J6:J12)</f>
        <v/>
      </c>
      <c r="K13" s="23">
        <f>SUM(K6:K12)</f>
        <v/>
      </c>
    </row>
    <row r="15">
      <c r="B15" s="7" t="inlineStr">
        <is>
          <t>Office (desks × cost per desk)</t>
        </is>
      </c>
      <c r="K15" s="24">
        <f>D13*Assumptions!$C$33</f>
        <v/>
      </c>
    </row>
    <row r="16">
      <c r="B16" s="7" t="inlineStr">
        <is>
          <t>Software &amp; data seats</t>
        </is>
      </c>
      <c r="K16" s="24">
        <f>D13*Assumptions!$C$34</f>
        <v/>
      </c>
    </row>
    <row r="17">
      <c r="B17" s="7" t="inlineStr">
        <is>
          <t>AI model cost (cases × £ per case)</t>
        </is>
      </c>
      <c r="K17" s="24">
        <f>Assumptions!$C$12*Assumptions!$C$36</f>
        <v/>
      </c>
    </row>
    <row r="18">
      <c r="B18" s="7" t="inlineStr">
        <is>
          <t>Data &amp; verification (cases × £ per case)</t>
        </is>
      </c>
      <c r="K18" s="24">
        <f>Assumptions!$C$12*Assumptions!$C$37</f>
        <v/>
      </c>
    </row>
    <row r="19">
      <c r="B19" s="7" t="inlineStr">
        <is>
          <t>Platform, hosting, monitoring</t>
        </is>
      </c>
      <c r="K19" s="24">
        <f>Assumptions!$C$38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18" customWidth="1" min="3" max="3"/>
    <col width="60" customWidth="1" min="4" max="4"/>
  </cols>
  <sheetData>
    <row r="2">
      <c r="B2" s="1" t="inlineStr">
        <is>
          <t>Revenue build — identical for both models (same book, same pricing)</t>
        </is>
      </c>
    </row>
    <row r="4">
      <c r="B4" s="4" t="inlineStr">
        <is>
          <t>Line</t>
        </is>
      </c>
      <c r="C4" s="4" t="inlineStr">
        <is>
          <t>£ per year</t>
        </is>
      </c>
      <c r="D4" s="4" t="inlineStr">
        <is>
          <t>Formula / note</t>
        </is>
      </c>
    </row>
    <row r="5">
      <c r="B5" s="7" t="inlineStr">
        <is>
          <t>Annual originations</t>
        </is>
      </c>
      <c r="C5" s="24">
        <f>Assumptions!$C$10</f>
        <v/>
      </c>
      <c r="D5" s="9" t="inlineStr">
        <is>
          <t>Loans × average loan size</t>
        </is>
      </c>
    </row>
    <row r="6">
      <c r="B6" s="7" t="inlineStr">
        <is>
          <t>Average live loan book</t>
        </is>
      </c>
      <c r="C6" s="24">
        <f>Assumptions!$C$6</f>
        <v/>
      </c>
      <c r="D6" s="9" t="inlineStr"/>
    </row>
    <row r="8">
      <c r="B8" s="7" t="inlineStr">
        <is>
          <t>Arrangement fee charged (gross)</t>
        </is>
      </c>
      <c r="C8" s="13">
        <f>C5*Assumptions!$C$16</f>
        <v/>
      </c>
      <c r="D8" s="9" t="inlineStr">
        <is>
          <t>Originations × arrangement fee %</t>
        </is>
      </c>
    </row>
    <row r="9">
      <c r="B9" s="7" t="inlineStr">
        <is>
          <t>Less: introducer / broker share of arrangement fee</t>
        </is>
      </c>
      <c r="C9" s="13">
        <f>-C5*(Assumptions!$C$16-Assumptions!$C$17)*Assumptions!$C$22</f>
        <v/>
      </c>
      <c r="D9" s="9" t="inlineStr">
        <is>
          <t>Paid away to brokers on broker-introduced loans</t>
        </is>
      </c>
    </row>
    <row r="10">
      <c r="B10" s="7" t="inlineStr">
        <is>
          <t>Gross interest income</t>
        </is>
      </c>
      <c r="C10" s="13">
        <f>C6*Assumptions!$C$15</f>
        <v/>
      </c>
      <c r="D10" s="9" t="inlineStr">
        <is>
          <t>Book × annualised borrower rate</t>
        </is>
      </c>
    </row>
    <row r="11">
      <c r="B11" s="7" t="inlineStr">
        <is>
          <t>Admin, drawdown and redemption fees</t>
        </is>
      </c>
      <c r="C11" s="24">
        <f>Assumptions!$C$9*(Assumptions!$C$18+Assumptions!$C$19)</f>
        <v/>
      </c>
      <c r="D11" s="9" t="inlineStr">
        <is>
          <t>Loans × (admin fee + redemption/drawdown fees)</t>
        </is>
      </c>
    </row>
    <row r="12">
      <c r="B12" s="7" t="inlineStr">
        <is>
          <t>Exit fee income</t>
        </is>
      </c>
      <c r="C12" s="13">
        <f>C5*Assumptions!$C$20</f>
        <v/>
      </c>
      <c r="D12" s="9" t="inlineStr">
        <is>
          <t>Originations × exit fee %</t>
        </is>
      </c>
    </row>
    <row r="13">
      <c r="B13" s="7" t="inlineStr">
        <is>
          <t>Other fee income</t>
        </is>
      </c>
      <c r="C13" s="13">
        <f>C5*Assumptions!$C$21</f>
        <v/>
      </c>
      <c r="D13" s="9" t="inlineStr">
        <is>
          <t>Extensions, variations, non-redemption</t>
        </is>
      </c>
    </row>
    <row r="14">
      <c r="B14" s="7" t="inlineStr">
        <is>
          <t>GROSS REVENUE (after broker share)</t>
        </is>
      </c>
      <c r="C14" s="13">
        <f>SUM(C8:C13)</f>
        <v/>
      </c>
      <c r="D14" s="9" t="inlineStr"/>
    </row>
    <row r="16">
      <c r="B16" s="7" t="inlineStr">
        <is>
          <t>Less: cost of funds (funding partner buy rate)</t>
        </is>
      </c>
      <c r="C16" s="13">
        <f>-C6*Assumptions!$C$25*Assumptions!$C$24</f>
        <v/>
      </c>
      <c r="D16" s="9" t="inlineStr">
        <is>
          <t>Book × partner-funded share × buy rate</t>
        </is>
      </c>
    </row>
    <row r="17">
      <c r="B17" s="7" t="inlineStr">
        <is>
          <t>Less: funder fees</t>
        </is>
      </c>
      <c r="C17" s="13">
        <f>-Assumptions!$C$9*Assumptions!$C$26</f>
        <v/>
      </c>
      <c r="D17" s="9" t="inlineStr">
        <is>
          <t>Loans × partner fee per deal</t>
        </is>
      </c>
    </row>
    <row r="18">
      <c r="B18" s="7" t="inlineStr">
        <is>
          <t>Less: expected credit losses</t>
        </is>
      </c>
      <c r="C18" s="13">
        <f>-C6*Assumptions!$C$27</f>
        <v/>
      </c>
      <c r="D18" s="9" t="inlineStr">
        <is>
          <t>Book × annual loss rate</t>
        </is>
      </c>
    </row>
    <row r="19">
      <c r="B19" s="7" t="inlineStr">
        <is>
          <t>NET REVENUE (after funding, brokers, losses)</t>
        </is>
      </c>
      <c r="C19" s="13">
        <f>C14+SUM(C16:C18)</f>
        <v/>
      </c>
      <c r="D19" s="9" t="inlineStr">
        <is>
          <t>This is what has to pay for people, premises and technology</t>
        </is>
      </c>
    </row>
    <row r="21">
      <c r="B21" s="7" t="inlineStr">
        <is>
          <t>Net revenue as % of book</t>
        </is>
      </c>
      <c r="C21" s="16">
        <f>C19/C6</f>
        <v/>
      </c>
      <c r="D21" s="9" t="inlineStr"/>
    </row>
    <row r="22">
      <c r="B22" s="7" t="inlineStr">
        <is>
          <t>Net revenue per completed loan</t>
        </is>
      </c>
      <c r="C22" s="13">
        <f>C19/Assumptions!$C$9</f>
        <v/>
      </c>
      <c r="D22" s="9" t="inlineStr"/>
    </row>
    <row r="23">
      <c r="B23" s="7" t="inlineStr">
        <is>
          <t>Net interest margin (% of book)</t>
        </is>
      </c>
      <c r="C23" s="16">
        <f>(C10+C16)/C6</f>
        <v/>
      </c>
      <c r="D23" s="9" t="inlineStr">
        <is>
          <t>Gross interest less cost of funds. Founder calculator example: 3.4% of facility over 18 months.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8" customWidth="1" min="4" max="4"/>
    <col width="16" customWidth="1" min="5" max="5"/>
    <col width="50" customWidth="1" min="6" max="6"/>
  </cols>
  <sheetData>
    <row r="2">
      <c r="B2" s="1" t="inlineStr">
        <is>
          <t>Same loan book, two operating models</t>
        </is>
      </c>
    </row>
    <row r="4">
      <c r="B4" s="4" t="inlineStr"/>
      <c r="C4" s="4" t="inlineStr">
        <is>
          <t>Northgate Bridging (traditional)</t>
        </is>
      </c>
      <c r="D4" s="4" t="inlineStr">
        <is>
          <t>Verdigris (AI-native)</t>
        </is>
      </c>
      <c r="E4" s="4" t="inlineStr">
        <is>
          <t>Difference</t>
        </is>
      </c>
      <c r="F4" s="4" t="inlineStr">
        <is>
          <t>Note</t>
        </is>
      </c>
    </row>
    <row r="5">
      <c r="B5" s="7" t="inlineStr">
        <is>
          <t>Headcount (FTE)</t>
        </is>
      </c>
      <c r="C5" s="25">
        <f>'Headcount - Traditional'!D24</f>
        <v/>
      </c>
      <c r="D5" s="25">
        <f>'Headcount - AI-native'!D13</f>
        <v/>
      </c>
      <c r="E5" s="26">
        <f>D5-C5</f>
        <v/>
      </c>
    </row>
    <row r="6">
      <c r="B6" s="7" t="inlineStr">
        <is>
          <t>People cost (fully loaded)</t>
        </is>
      </c>
      <c r="C6" s="24">
        <f>'Headcount - Traditional'!K24</f>
        <v/>
      </c>
      <c r="D6" s="24">
        <f>'Headcount - AI-native'!K13</f>
        <v/>
      </c>
      <c r="E6" s="13">
        <f>D6-C6</f>
        <v/>
      </c>
      <c r="F6" s="9" t="inlineStr">
        <is>
          <t>Traditional: 36 people. AI-native: 8 people, AI does reading/reconciling/drafting.</t>
        </is>
      </c>
    </row>
    <row r="7">
      <c r="B7" s="7" t="inlineStr">
        <is>
          <t>Office</t>
        </is>
      </c>
      <c r="C7" s="24">
        <f>'Headcount - Traditional'!K26</f>
        <v/>
      </c>
      <c r="D7" s="24">
        <f>'Headcount - AI-native'!K15</f>
        <v/>
      </c>
      <c r="E7" s="13">
        <f>D7-C7</f>
        <v/>
      </c>
    </row>
    <row r="8">
      <c r="B8" s="7" t="inlineStr">
        <is>
          <t>Software &amp; data seats</t>
        </is>
      </c>
      <c r="C8" s="24">
        <f>'Headcount - Traditional'!K27</f>
        <v/>
      </c>
      <c r="D8" s="24">
        <f>'Headcount - AI-native'!K16</f>
        <v/>
      </c>
      <c r="E8" s="13">
        <f>D8-C8</f>
        <v/>
      </c>
    </row>
    <row r="9">
      <c r="B9" s="7" t="inlineStr">
        <is>
          <t>Data &amp; verification per case</t>
        </is>
      </c>
      <c r="C9" s="24">
        <f>'Headcount - Traditional'!K28</f>
        <v/>
      </c>
      <c r="D9" s="24">
        <f>'Headcount - AI-native'!K18</f>
        <v/>
      </c>
      <c r="E9" s="13">
        <f>D9-C9</f>
        <v/>
      </c>
    </row>
    <row r="10">
      <c r="B10" s="7" t="inlineStr">
        <is>
          <t>AI model cost</t>
        </is>
      </c>
      <c r="C10" s="24">
        <f>0</f>
        <v/>
      </c>
      <c r="D10" s="24">
        <f>'Headcount - AI-native'!K17</f>
        <v/>
      </c>
      <c r="E10" s="13">
        <f>D10-C10</f>
        <v/>
      </c>
    </row>
    <row r="11">
      <c r="B11" s="7" t="inlineStr">
        <is>
          <t>Platform, hosting, monitoring</t>
        </is>
      </c>
      <c r="C11" s="24">
        <f>0</f>
        <v/>
      </c>
      <c r="D11" s="24">
        <f>'Headcount - AI-native'!K19</f>
        <v/>
      </c>
      <c r="E11" s="13">
        <f>D11-C11</f>
        <v/>
      </c>
      <c r="F11" s="9" t="inlineStr">
        <is>
          <t>Model cost ≈ £16/case ×10 safety factor already included; see Assumptions.</t>
        </is>
      </c>
    </row>
    <row r="12">
      <c r="B12" s="27" t="inlineStr">
        <is>
          <t>TOTAL OPERATING COST</t>
        </is>
      </c>
      <c r="C12" s="28">
        <f>SUM(C6:C11)</f>
        <v/>
      </c>
      <c r="D12" s="28">
        <f>SUM(D6:D11)</f>
        <v/>
      </c>
      <c r="E12" s="23">
        <f>D12-C12</f>
        <v/>
      </c>
    </row>
    <row r="14">
      <c r="B14" s="7" t="inlineStr">
        <is>
          <t>Net revenue (from Revenue sheet)</t>
        </is>
      </c>
      <c r="C14" s="24">
        <f>Revenue!C19</f>
        <v/>
      </c>
      <c r="D14" s="24">
        <f>Revenue!C19</f>
        <v/>
      </c>
      <c r="E14" s="13">
        <f>D14-C14</f>
        <v/>
      </c>
    </row>
    <row r="15">
      <c r="B15" s="7" t="inlineStr">
        <is>
          <t>OPERATING PROFIT (before tax)</t>
        </is>
      </c>
      <c r="C15" s="24">
        <f>C14-C12</f>
        <v/>
      </c>
      <c r="D15" s="24">
        <f>D14-D12</f>
        <v/>
      </c>
      <c r="E15" s="13">
        <f>D15-C15</f>
        <v/>
      </c>
    </row>
    <row r="16">
      <c r="B16" s="7" t="inlineStr">
        <is>
          <t>Operating margin (% of net revenue)</t>
        </is>
      </c>
      <c r="C16" s="29">
        <f>C15/C14</f>
        <v/>
      </c>
      <c r="D16" s="29">
        <f>D15/D14</f>
        <v/>
      </c>
      <c r="E16" s="16">
        <f>D16-C16</f>
        <v/>
      </c>
    </row>
    <row r="18">
      <c r="B18" s="7" t="inlineStr">
        <is>
          <t>Loans completed per year</t>
        </is>
      </c>
      <c r="C18" s="30">
        <f>Assumptions!$C$9</f>
        <v/>
      </c>
      <c r="D18" s="30">
        <f>Assumptions!$C$9</f>
        <v/>
      </c>
    </row>
    <row r="19">
      <c r="B19" s="7" t="inlineStr">
        <is>
          <t>Operating cost per completed loan</t>
        </is>
      </c>
      <c r="C19" s="24">
        <f>C12/Assumptions!$C$9</f>
        <v/>
      </c>
      <c r="D19" s="24">
        <f>D12/Assumptions!$C$9</f>
        <v/>
      </c>
      <c r="E19" s="13">
        <f>D19-C19</f>
        <v/>
      </c>
      <c r="F19" s="9" t="inlineStr">
        <is>
          <t>Same loans, same revenue: the difference is entirely operating cost.</t>
        </is>
      </c>
    </row>
    <row r="20">
      <c r="B20" s="7" t="inlineStr">
        <is>
          <t>Operating cost as % of originations</t>
        </is>
      </c>
      <c r="C20" s="31">
        <f>C12/Assumptions!$C$10</f>
        <v/>
      </c>
      <c r="D20" s="31">
        <f>D12/Assumptions!$C$10</f>
        <v/>
      </c>
      <c r="E20" s="32">
        <f>D20-C20</f>
        <v/>
      </c>
      <c r="F20" s="9" t="inlineStr">
        <is>
          <t>Cost to originate. Traditional lenders typically 1.5–3% of volume.</t>
        </is>
      </c>
    </row>
    <row r="21">
      <c r="B21" s="7" t="inlineStr">
        <is>
          <t>Loan book per employee</t>
        </is>
      </c>
      <c r="C21" s="24">
        <f>Assumptions!$C$6/C5</f>
        <v/>
      </c>
      <c r="D21" s="24">
        <f>Assumptions!$C$6/D5</f>
        <v/>
      </c>
      <c r="E21" s="13">
        <f>D21-C21</f>
        <v/>
      </c>
    </row>
    <row r="22">
      <c r="B22" s="7" t="inlineStr">
        <is>
          <t>Loans completed per employee per year</t>
        </is>
      </c>
      <c r="C22" s="25">
        <f>Assumptions!$C$9/C5</f>
        <v/>
      </c>
      <c r="D22" s="25">
        <f>Assumptions!$C$9/D5</f>
        <v/>
      </c>
      <c r="E22" s="26">
        <f>D22-C22</f>
        <v/>
      </c>
    </row>
    <row r="25">
      <c r="B25" s="1" t="inlineStr">
        <is>
          <t>Scaling: what happens as the book grows (same pricing, same loss rate)</t>
        </is>
      </c>
    </row>
    <row r="26">
      <c r="B26" s="9" t="inlineStr">
        <is>
          <t>Traditional: management fixed, every other function grows in proportion to the book. AI-native: fixed core team + 1 underwriter per £75m of book + 1 BDM per £150m; AI cost grows with cases.</t>
        </is>
      </c>
    </row>
    <row r="27">
      <c r="B27" s="4" t="inlineStr">
        <is>
          <t>Metric</t>
        </is>
      </c>
      <c r="C27" s="4" t="inlineStr">
        <is>
          <t>Book £150m</t>
        </is>
      </c>
      <c r="D27" s="4" t="inlineStr">
        <is>
          <t>Book £300m</t>
        </is>
      </c>
      <c r="E27" s="4" t="inlineStr">
        <is>
          <t>Book £600m</t>
        </is>
      </c>
      <c r="F27" s="4" t="inlineStr">
        <is>
          <t>Note</t>
        </is>
      </c>
    </row>
    <row r="28">
      <c r="B28" s="7" t="inlineStr">
        <is>
          <t>Loan book</t>
        </is>
      </c>
      <c r="C28" s="18" t="n">
        <v>150000000</v>
      </c>
      <c r="D28" s="18" t="n">
        <v>300000000</v>
      </c>
      <c r="E28" s="18" t="n">
        <v>600000000</v>
      </c>
      <c r="F28" s="9" t="inlineStr">
        <is>
          <t>Scale factor vs base = book ÷ Assumptions book</t>
        </is>
      </c>
    </row>
    <row r="29">
      <c r="B29" s="7" t="inlineStr">
        <is>
          <t>Scale factor vs base case</t>
        </is>
      </c>
      <c r="C29" s="33">
        <f>C28/Assumptions!$C$6</f>
        <v/>
      </c>
      <c r="D29" s="33">
        <f>D28/Assumptions!$C$6</f>
        <v/>
      </c>
      <c r="E29" s="33">
        <f>E28/Assumptions!$C$6</f>
        <v/>
      </c>
    </row>
    <row r="30">
      <c r="B30" s="7" t="inlineStr">
        <is>
          <t>Loans completed per year</t>
        </is>
      </c>
      <c r="C30" s="12">
        <f>ROUND(Assumptions!$C$9*C29,0)</f>
        <v/>
      </c>
      <c r="D30" s="12">
        <f>ROUND(Assumptions!$C$9*D29,0)</f>
        <v/>
      </c>
      <c r="E30" s="12">
        <f>ROUND(Assumptions!$C$9*E29,0)</f>
        <v/>
      </c>
    </row>
    <row r="31">
      <c r="B31" s="7" t="inlineStr">
        <is>
          <t>Net revenue</t>
        </is>
      </c>
      <c r="C31" s="13">
        <f>Revenue!$C$19*C29</f>
        <v/>
      </c>
      <c r="D31" s="13">
        <f>Revenue!$C$19*D29</f>
        <v/>
      </c>
      <c r="E31" s="13">
        <f>Revenue!$C$19*E29</f>
        <v/>
      </c>
    </row>
    <row r="33">
      <c r="B33" s="5" t="inlineStr">
        <is>
          <t>TRADITIONAL</t>
        </is>
      </c>
    </row>
    <row r="34">
      <c r="B34" s="7" t="inlineStr">
        <is>
          <t>Headcount</t>
        </is>
      </c>
      <c r="C34" s="26">
        <f>SUMIF('Headcount - Traditional'!B6:B23,"Management",'Headcount - Traditional'!D6:D23)+('Headcount - Traditional'!$D$24-SUMIF('Headcount - Traditional'!B6:B23,"Management",'Headcount - Traditional'!D6:D23))*C29</f>
        <v/>
      </c>
      <c r="D34" s="26">
        <f>SUMIF('Headcount - Traditional'!B6:B23,"Management",'Headcount - Traditional'!D6:D23)+('Headcount - Traditional'!$D$24-SUMIF('Headcount - Traditional'!B6:B23,"Management",'Headcount - Traditional'!D6:D23))*D29</f>
        <v/>
      </c>
      <c r="E34" s="26">
        <f>SUMIF('Headcount - Traditional'!B6:B23,"Management",'Headcount - Traditional'!D6:D23)+('Headcount - Traditional'!$D$24-SUMIF('Headcount - Traditional'!B6:B23,"Management",'Headcount - Traditional'!D6:D23))*E29</f>
        <v/>
      </c>
    </row>
    <row r="35">
      <c r="B35" s="7" t="inlineStr">
        <is>
          <t>Operating cost</t>
        </is>
      </c>
      <c r="C35" s="13">
        <f>SUMIF('Headcount - Traditional'!B6:B23,"Management",'Headcount - Traditional'!K6:K23)+('Headcount - Traditional'!$K$24-SUMIF('Headcount - Traditional'!B6:B23,"Management",'Headcount - Traditional'!K6:K23))*C29+C34*(Assumptions!$C$33+Assumptions!$C$34)+Assumptions!$C$12*C29*Assumptions!$C$37</f>
        <v/>
      </c>
      <c r="D35" s="13">
        <f>SUMIF('Headcount - Traditional'!B6:B23,"Management",'Headcount - Traditional'!K6:K23)+('Headcount - Traditional'!$K$24-SUMIF('Headcount - Traditional'!B6:B23,"Management",'Headcount - Traditional'!K6:K23))*D29+D34*(Assumptions!$C$33+Assumptions!$C$34)+Assumptions!$C$12*D29*Assumptions!$C$37</f>
        <v/>
      </c>
      <c r="E35" s="13">
        <f>SUMIF('Headcount - Traditional'!B6:B23,"Management",'Headcount - Traditional'!K6:K23)+('Headcount - Traditional'!$K$24-SUMIF('Headcount - Traditional'!B6:B23,"Management",'Headcount - Traditional'!K6:K23))*E29+E34*(Assumptions!$C$33+Assumptions!$C$34)+Assumptions!$C$12*E29*Assumptions!$C$37</f>
        <v/>
      </c>
    </row>
    <row r="36">
      <c r="B36" s="7" t="inlineStr">
        <is>
          <t>Operating profit</t>
        </is>
      </c>
      <c r="C36" s="13">
        <f>C31-C35</f>
        <v/>
      </c>
      <c r="D36" s="13">
        <f>D31-D35</f>
        <v/>
      </c>
      <c r="E36" s="13">
        <f>E31-E35</f>
        <v/>
      </c>
    </row>
    <row r="37">
      <c r="B37" s="7" t="inlineStr">
        <is>
          <t>Operating margin</t>
        </is>
      </c>
      <c r="C37" s="16">
        <f>C36/C31</f>
        <v/>
      </c>
      <c r="D37" s="16">
        <f>D36/D31</f>
        <v/>
      </c>
      <c r="E37" s="16">
        <f>E36/E31</f>
        <v/>
      </c>
    </row>
    <row r="38">
      <c r="B38" s="7" t="inlineStr">
        <is>
          <t>Cost per completed loan</t>
        </is>
      </c>
      <c r="C38" s="13">
        <f>C35/C30</f>
        <v/>
      </c>
      <c r="D38" s="13">
        <f>D35/D30</f>
        <v/>
      </c>
      <c r="E38" s="13">
        <f>E35/E30</f>
        <v/>
      </c>
    </row>
    <row r="40">
      <c r="B40" s="5" t="inlineStr">
        <is>
          <t>AI-NATIVE</t>
        </is>
      </c>
    </row>
    <row r="41">
      <c r="B41" s="7" t="inlineStr">
        <is>
          <t>Headcount</t>
        </is>
      </c>
      <c r="C41" s="26">
        <f>(SUM('Headcount - AI-native'!D6:D12)-'Headcount - AI-native'!D8-'Headcount - AI-native'!D11)+ROUNDUP(C28/75000000,0)+ROUNDUP(C28/150000000,0)</f>
        <v/>
      </c>
      <c r="D41" s="26">
        <f>(SUM('Headcount - AI-native'!D6:D12)-'Headcount - AI-native'!D8-'Headcount - AI-native'!D11)+ROUNDUP(D28/75000000,0)+ROUNDUP(D28/150000000,0)</f>
        <v/>
      </c>
      <c r="E41" s="26">
        <f>(SUM('Headcount - AI-native'!D6:D12)-'Headcount - AI-native'!D8-'Headcount - AI-native'!D11)+ROUNDUP(E28/75000000,0)+ROUNDUP(E28/150000000,0)</f>
        <v/>
      </c>
    </row>
    <row r="42">
      <c r="B42" s="7" t="inlineStr">
        <is>
          <t>Operating cost</t>
        </is>
      </c>
      <c r="C42" s="13">
        <f>(SUM('Headcount - AI-native'!K6:K12)-'Headcount - AI-native'!K8-'Headcount - AI-native'!K11)+ROUNDUP(C28/75000000,0)*('Headcount - AI-native'!K8/'Headcount - AI-native'!D8)+ROUNDUP(C28/150000000,0)*('Headcount - AI-native'!K11/'Headcount - AI-native'!D11)+C41*(Assumptions!$C$33+Assumptions!$C$34)+Assumptions!$C$12*C29*(Assumptions!$C$36+Assumptions!$C$37)+Assumptions!$C$38*(1+0.5*(C29-1))</f>
        <v/>
      </c>
      <c r="D42" s="13">
        <f>(SUM('Headcount - AI-native'!K6:K12)-'Headcount - AI-native'!K8-'Headcount - AI-native'!K11)+ROUNDUP(D28/75000000,0)*('Headcount - AI-native'!K8/'Headcount - AI-native'!D8)+ROUNDUP(D28/150000000,0)*('Headcount - AI-native'!K11/'Headcount - AI-native'!D11)+D41*(Assumptions!$C$33+Assumptions!$C$34)+Assumptions!$C$12*D29*(Assumptions!$C$36+Assumptions!$C$37)+Assumptions!$C$38*(1+0.5*(D29-1))</f>
        <v/>
      </c>
      <c r="E42" s="13">
        <f>(SUM('Headcount - AI-native'!K6:K12)-'Headcount - AI-native'!K8-'Headcount - AI-native'!K11)+ROUNDUP(E28/75000000,0)*('Headcount - AI-native'!K8/'Headcount - AI-native'!D8)+ROUNDUP(E28/150000000,0)*('Headcount - AI-native'!K11/'Headcount - AI-native'!D11)+E41*(Assumptions!$C$33+Assumptions!$C$34)+Assumptions!$C$12*E29*(Assumptions!$C$36+Assumptions!$C$37)+Assumptions!$C$38*(1+0.5*(E29-1))</f>
        <v/>
      </c>
      <c r="F42" s="9" t="inlineStr">
        <is>
          <t>Platform cost grows at half the rate of the book.</t>
        </is>
      </c>
    </row>
    <row r="43">
      <c r="B43" s="7" t="inlineStr">
        <is>
          <t>Operating profit</t>
        </is>
      </c>
      <c r="C43" s="13">
        <f>C31-C42</f>
        <v/>
      </c>
      <c r="D43" s="13">
        <f>D31-D42</f>
        <v/>
      </c>
      <c r="E43" s="13">
        <f>E31-E42</f>
        <v/>
      </c>
    </row>
    <row r="44">
      <c r="B44" s="7" t="inlineStr">
        <is>
          <t>Operating margin</t>
        </is>
      </c>
      <c r="C44" s="16">
        <f>C43/C31</f>
        <v/>
      </c>
      <c r="D44" s="16">
        <f>D43/D31</f>
        <v/>
      </c>
      <c r="E44" s="16">
        <f>E43/E31</f>
        <v/>
      </c>
    </row>
    <row r="45">
      <c r="B45" s="7" t="inlineStr">
        <is>
          <t>Cost per completed loan</t>
        </is>
      </c>
      <c r="C45" s="13">
        <f>C42/C30</f>
        <v/>
      </c>
      <c r="D45" s="13">
        <f>D42/D30</f>
        <v/>
      </c>
      <c r="E45" s="13">
        <f>E42/E30</f>
        <v/>
      </c>
    </row>
    <row r="47">
      <c r="B47" s="21" t="inlineStr">
        <is>
          <t>AI-native cost advantage (traditional ÷ AI-native)</t>
        </is>
      </c>
      <c r="C47" s="34">
        <f>C35/C42</f>
        <v/>
      </c>
      <c r="D47" s="34">
        <f>D35/D42</f>
        <v/>
      </c>
      <c r="E47" s="34">
        <f>E35/E42</f>
        <v/>
      </c>
    </row>
    <row r="48">
      <c r="B48" s="21" t="inlineStr">
        <is>
          <t>Extra operating profit from AI-native model</t>
        </is>
      </c>
      <c r="C48" s="35">
        <f>C43-C36</f>
        <v/>
      </c>
      <c r="D48" s="35">
        <f>D43-D36</f>
        <v/>
      </c>
      <c r="E48" s="35">
        <f>E43-E36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18" customWidth="1" min="4" max="4"/>
    <col width="50" customWidth="1" min="5" max="5"/>
  </cols>
  <sheetData>
    <row r="2">
      <c r="B2" s="1" t="inlineStr">
        <is>
          <t>What it costs to underwrite one case</t>
        </is>
      </c>
    </row>
    <row r="4">
      <c r="B4" s="4" t="inlineStr">
        <is>
          <t>Item</t>
        </is>
      </c>
      <c r="C4" s="4" t="inlineStr">
        <is>
          <t>Traditional</t>
        </is>
      </c>
      <c r="D4" s="4" t="inlineStr">
        <is>
          <t>AI-native</t>
        </is>
      </c>
      <c r="E4" s="4" t="inlineStr">
        <is>
          <t>Note</t>
        </is>
      </c>
    </row>
    <row r="5">
      <c r="B5" s="7" t="inlineStr">
        <is>
          <t>Fully loaded underwriter cost per hour</t>
        </is>
      </c>
      <c r="C5" s="24">
        <f>SUM('Headcount - Traditional'!K7:K8)/SUM('Headcount - Traditional'!D7:D8)/Assumptions!$C$41</f>
        <v/>
      </c>
      <c r="D5" s="24">
        <f>SUM('Headcount - Traditional'!K7:K8)/SUM('Headcount - Traditional'!D7:D8)/Assumptions!$C$41</f>
        <v/>
      </c>
      <c r="E5" s="9" t="inlineStr">
        <is>
          <t>Blended senior + mid underwriter, fully loaded, ÷ productive hours.</t>
        </is>
      </c>
    </row>
    <row r="6">
      <c r="B6" s="7" t="inlineStr">
        <is>
          <t>Underwriter hours per assessed case</t>
        </is>
      </c>
      <c r="C6" s="25">
        <f>Assumptions!$C$40</f>
        <v/>
      </c>
      <c r="D6" s="25">
        <f>Assumptions!$C$39</f>
        <v/>
      </c>
      <c r="E6" s="9" t="inlineStr">
        <is>
          <t>Traditional: reading, reconciling, chasing, drafting. AI-native: review and decide.</t>
        </is>
      </c>
    </row>
    <row r="7">
      <c r="B7" s="7" t="inlineStr">
        <is>
          <t>Human cost per case</t>
        </is>
      </c>
      <c r="C7" s="24">
        <f>C5*C6</f>
        <v/>
      </c>
      <c r="D7" s="24">
        <f>D5*D6</f>
        <v/>
      </c>
      <c r="E7" s="9" t="inlineStr"/>
    </row>
    <row r="8">
      <c r="B8" s="7" t="inlineStr">
        <is>
          <t>AI model cost per case</t>
        </is>
      </c>
      <c r="C8" s="24">
        <f>0</f>
        <v/>
      </c>
      <c r="D8" s="24">
        <f>Assumptions!$C$36</f>
        <v/>
      </c>
      <c r="E8" s="9" t="inlineStr">
        <is>
          <t>Includes 10x safety factor.</t>
        </is>
      </c>
    </row>
    <row r="9">
      <c r="B9" s="7" t="inlineStr">
        <is>
          <t>Data &amp; verification per case</t>
        </is>
      </c>
      <c r="C9" s="24">
        <f>Assumptions!$C$37</f>
        <v/>
      </c>
      <c r="D9" s="24">
        <f>Assumptions!$C$37</f>
        <v/>
      </c>
      <c r="E9" s="9" t="inlineStr">
        <is>
          <t>Same searches either way.</t>
        </is>
      </c>
    </row>
    <row r="10">
      <c r="B10" s="27" t="inlineStr">
        <is>
          <t>TOTAL COST PER ASSESSED CASE</t>
        </is>
      </c>
      <c r="C10" s="28">
        <f>SUM(C7:C9)</f>
        <v/>
      </c>
      <c r="D10" s="28">
        <f>SUM(D7:D9)</f>
        <v/>
      </c>
      <c r="E10" s="9" t="inlineStr"/>
    </row>
    <row r="12">
      <c r="B12" s="7" t="inlineStr">
        <is>
          <t>Cases one underwriter can assess per year</t>
        </is>
      </c>
      <c r="C12" s="30">
        <f>Assumptions!$C$41/C6</f>
        <v/>
      </c>
      <c r="D12" s="30">
        <f>Assumptions!$C$41/D6</f>
        <v/>
      </c>
      <c r="E12" s="9" t="inlineStr">
        <is>
          <t>Productive hours ÷ hours per case.</t>
        </is>
      </c>
    </row>
    <row r="13">
      <c r="B13" s="7" t="inlineStr">
        <is>
          <t>Elapsed time to first credit view</t>
        </is>
      </c>
      <c r="C13" s="14" t="n">
        <v>5</v>
      </c>
      <c r="D13" s="14" t="n">
        <v>0.25</v>
      </c>
      <c r="E13" s="9" t="inlineStr">
        <is>
          <t>Working days. Traditional: founder experience 3–7 days to a credit view. AI-native: hours. Input cells.</t>
        </is>
      </c>
    </row>
    <row r="14">
      <c r="B14" s="7" t="inlineStr">
        <is>
          <t>Cost reduction per case</t>
        </is>
      </c>
      <c r="D14" s="29">
        <f>1-D10/C10</f>
        <v/>
      </c>
      <c r="E14" s="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90" customWidth="1" min="3" max="3"/>
  </cols>
  <sheetData>
    <row r="2">
      <c r="B2" s="1" t="inlineStr">
        <is>
          <t>Sources</t>
        </is>
      </c>
    </row>
    <row r="4">
      <c r="B4" s="4" t="inlineStr">
        <is>
          <t>Topic</t>
        </is>
      </c>
      <c r="C4" s="4" t="inlineStr">
        <is>
          <t>Source</t>
        </is>
      </c>
    </row>
    <row r="5">
      <c r="B5" s="7" t="inlineStr">
        <is>
          <t>Bridging market: BDLA loan books &amp; completions</t>
        </is>
      </c>
      <c r="C5" s="36" t="inlineStr">
        <is>
          <t>Mortgage Solutions, 12 Jun 2026 — https://www.mortgagesolutions.co.uk/specialist-lending/bridging/2026/06/12/bridging-market-softens-as-growth-tapers-off-bdla-finds/</t>
        </is>
      </c>
    </row>
    <row r="6">
      <c r="B6" s="7" t="inlineStr">
        <is>
          <t>Bridging market: BDLA Q4 2025</t>
        </is>
      </c>
      <c r="C6" s="36" t="inlineStr">
        <is>
          <t>https://thebdla.org/news/bridging-market-maintains-momentum-in-2025/</t>
        </is>
      </c>
    </row>
    <row r="7">
      <c r="B7" s="7" t="inlineStr">
        <is>
          <t>Bridging market: average loan £540k</t>
        </is>
      </c>
      <c r="C7" s="36" t="inlineStr">
        <is>
          <t>MPA Mag — https://www.mpamag.com/uk/mortgage-types/bridging/bdla-reports-strong-start-for-bridging-finance-in-2025/539187</t>
        </is>
      </c>
    </row>
    <row r="8">
      <c r="B8" s="7" t="inlineStr">
        <is>
          <t>Bridging Trends 2025 (rate 0.84%, LTV 55%, 43 days, term 12m)</t>
        </is>
      </c>
      <c r="C8" s="36" t="inlineStr">
        <is>
          <t>MT Finance — https://www.mt-finance.com/speed-and-stability-bridging-loan-completion-times-hit-eight-year-low-in-2025/</t>
        </is>
      </c>
    </row>
    <row r="9">
      <c r="B9" s="7" t="inlineStr">
        <is>
          <t>Bridging Trends Q2 2026 (rate 0.81%)</t>
        </is>
      </c>
      <c r="C9" s="36" t="inlineStr">
        <is>
          <t>https://www.mt-finance.com/bridging-trends-savvy-borrowers-focus-on-speed-and-equity-release-in-q2/</t>
        </is>
      </c>
    </row>
    <row r="10">
      <c r="B10" s="7" t="inlineStr">
        <is>
          <t>Broker channel share (61% primary, 15% direct)</t>
        </is>
      </c>
      <c r="C10" s="36" t="inlineStr">
        <is>
          <t>Mortgage Solutions, 9 Jun 2026 — https://www.mortgagesolutions.co.uk/specialist-lending/bridging/2026/06/09/bridging-lenders-say-the-market-is-still-growing-survey-finds/</t>
        </is>
      </c>
    </row>
    <row r="11">
      <c r="B11" s="7" t="inlineStr">
        <is>
          <t>Broker fees / arrangement fee norms</t>
        </is>
      </c>
      <c r="C11" s="36" t="inlineStr">
        <is>
          <t>Bridging Loan Directory fee guide — https://bridgingloandirectory.co.uk/guides/bridging-loan-fees-explained-full-cost-breakdown-2025-guide/</t>
        </is>
      </c>
    </row>
    <row r="12">
      <c r="B12" s="7" t="inlineStr">
        <is>
          <t>Broker commission benchmark (1.5% avg)</t>
        </is>
      </c>
      <c r="C12" s="36" t="inlineStr">
        <is>
          <t>Bridging &amp; Commercial, Octane £2bn milestone — https://bridgingandcommercial.co.uk/article/21707/octane-surpasses-%C2%A32bn-lending-milestone</t>
        </is>
      </c>
    </row>
    <row r="13">
      <c r="B13" s="7" t="inlineStr">
        <is>
          <t>Loan book per employee benchmarks</t>
        </is>
      </c>
      <c r="C13" s="36" t="inlineStr">
        <is>
          <t>Octane (~30 staff), Hope Capital (32–41), Tuscan (19) — see company press; Tracxn/LinkedIn headcounts</t>
        </is>
      </c>
    </row>
    <row r="14">
      <c r="B14" s="7" t="inlineStr">
        <is>
          <t>Salaries: underwriters</t>
        </is>
      </c>
      <c r="C14" s="36" t="inlineStr">
        <is>
          <t>Fintelligent, Tandem, exec-appointments job ads 2025–26; talent.com; Reed</t>
        </is>
      </c>
    </row>
    <row r="15">
      <c r="B15" s="7" t="inlineStr">
        <is>
          <t>Salaries: portfolio, completions, admin</t>
        </is>
      </c>
      <c r="C15" s="36" t="inlineStr">
        <is>
          <t>Reed, Fintelligent, NRG, Stellar Select ads; Indeed; PayScale</t>
        </is>
      </c>
    </row>
    <row r="16">
      <c r="B16" s="7" t="inlineStr">
        <is>
          <t>Salaries: BDM / Head of Sales</t>
        </is>
      </c>
      <c r="C16" s="36" t="inlineStr">
        <is>
          <t>Fintelligent, Totaljobs, jobsite ads; Glassdoor Head of Sales London</t>
        </is>
      </c>
    </row>
    <row r="17">
      <c r="B17" s="7" t="inlineStr">
        <is>
          <t>Salaries: marketing, engineering, CTO</t>
        </is>
      </c>
      <c r="C17" s="36" t="inlineStr">
        <is>
          <t>Glassdoor London 2026</t>
        </is>
      </c>
    </row>
    <row r="18">
      <c r="B18" s="7" t="inlineStr">
        <is>
          <t>Salaries: CEO / CFO / COO (estimates)</t>
        </is>
      </c>
      <c r="C18" s="36" t="inlineStr">
        <is>
          <t>Exec Capital, FD Capital, Stone Executive salary guides 2026</t>
        </is>
      </c>
    </row>
    <row r="19">
      <c r="B19" s="7" t="inlineStr">
        <is>
          <t>Salaries: compliance</t>
        </is>
      </c>
      <c r="C19" s="36" t="inlineStr">
        <is>
          <t>Morgan McKinley 2026 salary guide</t>
        </is>
      </c>
    </row>
    <row r="20">
      <c r="B20" s="7" t="inlineStr">
        <is>
          <t>Employer NI 15%, threshold £5,000</t>
        </is>
      </c>
      <c r="C20" s="36" t="inlineStr">
        <is>
          <t>https://employerscalculator.co.uk/guides/employer-ni-rates-2026-27</t>
        </is>
      </c>
    </row>
    <row r="21">
      <c r="B21" s="7" t="inlineStr">
        <is>
          <t>Pension auto-enrolment 3% minimum</t>
        </is>
      </c>
      <c r="C21" s="36" t="inlineStr">
        <is>
          <t>https://www.moorepay.co.uk/payroll-hr-rates/automatic-enrolment/</t>
        </is>
      </c>
    </row>
    <row r="22">
      <c r="B22" s="7" t="inlineStr">
        <is>
          <t>All-in on-cost multiplier 1.25–1.4x</t>
        </is>
      </c>
      <c r="C22" s="36" t="inlineStr">
        <is>
          <t>https://grove.hr/blog/true-cost-hiring-employee-uk</t>
        </is>
      </c>
    </row>
    <row r="23">
      <c r="B23" s="7" t="inlineStr">
        <is>
          <t>London serviced office £700–900/desk/month</t>
        </is>
      </c>
      <c r="C23" s="36" t="inlineStr">
        <is>
          <t>https://www.flexioffices.co.uk/blog/serviced-office-cost-london</t>
        </is>
      </c>
    </row>
    <row r="24">
      <c r="B24" s="7" t="inlineStr">
        <is>
          <t>Land Registry fees £7</t>
        </is>
      </c>
      <c r="C24" s="36" t="inlineStr">
        <is>
          <t>https://gov.uk/guidance/changes-to-fees-for-hm-land-registrys-information-services</t>
        </is>
      </c>
    </row>
    <row r="25">
      <c r="B25" s="7" t="inlineStr">
        <is>
          <t>KYC / credit / AVM per-check costs</t>
        </is>
      </c>
      <c r="C25" s="36" t="inlineStr">
        <is>
          <t>SmartSearch, Creditsafe/Experian comparison, Hometrack retail pricing</t>
        </is>
      </c>
    </row>
    <row r="26">
      <c r="B26" s="7" t="inlineStr">
        <is>
          <t>AI model pricing (Opus 5 $5/$25 per M tokens)</t>
        </is>
      </c>
      <c r="C26" s="36" t="inlineStr">
        <is>
          <t>Anthropic pricing, June 2026 — https://docs.anthropic.com/en/docs/about-claude/pricing</t>
        </is>
      </c>
    </row>
    <row r="27">
      <c r="B27" s="7" t="inlineStr">
        <is>
          <t>Founder inputs</t>
        </is>
      </c>
      <c r="C27" s="36" t="inlineStr">
        <is>
          <t>Lisa Huang — underwriting experience: ~25 loans/yr, 15–23 live cases, £500k–£1m facilities, 15–28 day completions, broker fee 1–2%</t>
        </is>
      </c>
    </row>
    <row r="28">
      <c r="B28" s="7" t="inlineStr">
        <is>
          <t>Founder data: deal pricing calculator (anonymised)</t>
        </is>
      </c>
      <c r="C28" s="36" t="inlineStr">
        <is>
          <t>Rate 0.95%/mo fixed; partner advance 95% at 8.25–9.75%; bank line BoE+4.3–4.8% at 75% advance; lender first-loss 5%; arrangement fee 2% with introducer share; admin £1,250–1,995; drawdown £295/mo; redemption £495; partner fee £500; example deal GPM 4.6% of facility over 18 months</t>
        </is>
      </c>
    </row>
    <row r="29">
      <c r="B29" s="7" t="inlineStr">
        <is>
          <t>Founder data: pipeline tracker (Jan 2026, anonymised)</t>
        </is>
      </c>
      <c r="C29" s="36" t="inlineStr">
        <is>
          <t>~20 live cases; facilities £205k–£1.59m, median ≈ £440k; weekly status dominated by chasing valuers, monitoring surveyors and solicitors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2026-09-09T12:10:33Z</dcterms:created>
  <dcterms:modified xsi:type="dcterms:W3CDTF">2026-09-09T12:10:33Z</dcterms:modified>
</cp:coreProperties>
</file>