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0" pivotButton="0" quotePrefix="0" xfId="0"/>
    <xf numFmtId="0" fontId="5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4" fontId="3" fillId="0" borderId="1" pivotButton="0" quotePrefix="0" xfId="0"/>
    <xf numFmtId="4" fontId="4" fillId="2" borderId="1" pivotButton="0" quotePrefix="0" xfId="0"/>
    <xf numFmtId="0" fontId="4" fillId="2" borderId="0" pivotButton="0" quotePrefix="0" xfId="0"/>
    <xf numFmtId="0" fontId="6" fillId="0" borderId="1" pivotButton="0" quotePrefix="0" xfId="0"/>
    <xf numFmtId="0" fontId="0" fillId="0" borderId="1" pivotButton="0" quotePrefix="0" xfId="0"/>
    <xf numFmtId="4" fontId="6" fillId="0" borderId="1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0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Gibraltar wedding: do it yourself vs Marry Abroad Simply</t>
        </is>
      </c>
    </row>
    <row r="2">
      <c r="A2" s="2" t="inlineStr">
        <is>
          <t>Yellow cells can be changed. Amounts in £. Agency prices converted from EUR at the rate in C3.</t>
        </is>
      </c>
    </row>
    <row r="3">
      <c r="A3" s="3" t="inlineStr">
        <is>
          <t>EUR to GBP rate</t>
        </is>
      </c>
      <c r="C3" s="4" t="n">
        <v>0.84</v>
      </c>
    </row>
    <row r="5">
      <c r="A5" s="5" t="inlineStr">
        <is>
          <t>Item</t>
        </is>
      </c>
      <c r="B5" s="5" t="inlineStr">
        <is>
          <t>Notes</t>
        </is>
      </c>
      <c r="C5" s="5" t="inlineStr">
        <is>
          <t>Do it yourself (£)</t>
        </is>
      </c>
      <c r="D5" s="5" t="inlineStr">
        <is>
          <t>Agency (£)</t>
        </is>
      </c>
    </row>
    <row r="6">
      <c r="A6" s="6" t="inlineStr">
        <is>
          <t>Special Licence for Marriage</t>
        </is>
      </c>
      <c r="B6" s="7" t="inlineStr">
        <is>
          <t>Registry fee</t>
        </is>
      </c>
      <c r="C6" s="8" t="n">
        <v>124</v>
      </c>
      <c r="D6" s="8" t="inlineStr">
        <is>
          <t>incl</t>
        </is>
      </c>
    </row>
    <row r="7">
      <c r="A7" s="6" t="inlineStr">
        <is>
          <t>Ceremony at an outside location</t>
        </is>
      </c>
      <c r="B7" s="7" t="inlineStr">
        <is>
          <t>Registrar comes to the venue, after hours or Saturday</t>
        </is>
      </c>
      <c r="C7" s="8" t="n">
        <v>309.5</v>
      </c>
      <c r="D7" s="8" t="inlineStr">
        <is>
          <t>incl</t>
        </is>
      </c>
    </row>
    <row r="8">
      <c r="A8" s="6" t="inlineStr">
        <is>
          <t>Marriage certificates x2</t>
        </is>
      </c>
      <c r="B8" s="7" t="inlineStr">
        <is>
          <t>£37 each, ready 10 to 15 working days after</t>
        </is>
      </c>
      <c r="C8" s="8" t="n">
        <v>74</v>
      </c>
      <c r="D8" s="8" t="inlineStr">
        <is>
          <t>incl</t>
        </is>
      </c>
    </row>
    <row r="9">
      <c r="A9" s="6" t="inlineStr">
        <is>
          <t>Confirmation letter on the day</t>
        </is>
      </c>
      <c r="B9" s="7" t="inlineStr"/>
      <c r="C9" s="8" t="n">
        <v>19</v>
      </c>
      <c r="D9" s="8" t="inlineStr">
        <is>
          <t>incl</t>
        </is>
      </c>
    </row>
    <row r="10">
      <c r="A10" s="6" t="inlineStr">
        <is>
          <t>Postage of certificates to UK</t>
        </is>
      </c>
      <c r="B10" s="7" t="inlineStr"/>
      <c r="C10" s="8" t="n">
        <v>19</v>
      </c>
      <c r="D10" s="8" t="inlineStr">
        <is>
          <t>incl</t>
        </is>
      </c>
    </row>
    <row r="11">
      <c r="A11" s="6" t="inlineStr">
        <is>
          <t>Venue: Botanic Gardens Dell hire</t>
        </is>
      </c>
      <c r="B11" s="7" t="inlineStr">
        <is>
          <t>£275 weekday, £300 Saturday. Agency: gardens or The Lounge restaurant with 3-course meal</t>
        </is>
      </c>
      <c r="C11" s="9" t="n">
        <v>275</v>
      </c>
      <c r="D11" s="8" t="inlineStr">
        <is>
          <t>incl</t>
        </is>
      </c>
    </row>
    <row r="12">
      <c r="A12" s="6" t="inlineStr">
        <is>
          <t>Agency service fee</t>
        </is>
      </c>
      <c r="B12" s="7" t="inlineStr">
        <is>
          <t>EUR 1,495 covers all lines marked incl</t>
        </is>
      </c>
      <c r="C12" s="8" t="inlineStr">
        <is>
          <t>-</t>
        </is>
      </c>
      <c r="D12" s="8">
        <f>1495*$C$3</f>
        <v/>
      </c>
    </row>
    <row r="13">
      <c r="A13" s="6" t="inlineStr">
        <is>
          <t>Witnesses x2</t>
        </is>
      </c>
      <c r="B13" s="7" t="inlineStr">
        <is>
          <t>Registry does not provide any. Agency: £30 each cash on the day</t>
        </is>
      </c>
      <c r="C13" s="8" t="inlineStr">
        <is>
          <t>own friends' travel</t>
        </is>
      </c>
      <c r="D13" s="8">
        <f>60</f>
        <v/>
      </c>
    </row>
    <row r="14">
      <c r="A14" s="6" t="inlineStr">
        <is>
          <t>Apostilles x2 (optional)</t>
        </is>
      </c>
      <c r="B14" s="7" t="inlineStr">
        <is>
          <t>Registry £37 each. Agency EUR 285 for two. Set quantity in F to 1 if wanted</t>
        </is>
      </c>
      <c r="C14" s="8">
        <f>F14*74</f>
        <v/>
      </c>
      <c r="D14" s="8">
        <f>F14*285*$C$3</f>
        <v/>
      </c>
      <c r="E14" s="3" t="inlineStr">
        <is>
          <t>Quantity (0 or 1):</t>
        </is>
      </c>
      <c r="F14" s="10" t="n">
        <v>0</v>
      </c>
    </row>
    <row r="15">
      <c r="A15" s="11" t="inlineStr">
        <is>
          <t>TOTAL</t>
        </is>
      </c>
      <c r="B15" s="12" t="n"/>
      <c r="C15" s="13">
        <f>SUM(C6:C14)</f>
        <v/>
      </c>
      <c r="D15" s="13">
        <f>SUM(D6:D14)</f>
        <v/>
      </c>
    </row>
    <row r="16">
      <c r="A16" s="14" t="inlineStr">
        <is>
          <t>Difference (agency minus do it yourself)</t>
        </is>
      </c>
      <c r="D16" s="15">
        <f>D15-C15</f>
        <v/>
      </c>
    </row>
    <row r="18">
      <c r="A18" s="2" t="inlineStr">
        <is>
          <t>Not in either total: flights, hotel (one night in Gibraltar is compulsory), translations, meal if do-it-yourself.</t>
        </is>
      </c>
    </row>
    <row r="19">
      <c r="A19" s="2" t="inlineStr">
        <is>
          <t>Agency includes checking your documents before you travel, booking the venue and a contact on the day. Do it yourself has none of that.</t>
        </is>
      </c>
    </row>
    <row r="20">
      <c r="A20" s="2" t="inlineStr">
        <is>
          <t>Both routes need the same documents and both are checked in person the working day before. Registry fees are never refunded. Agency refund only if the problem was not flagged.</t>
        </is>
      </c>
    </row>
    <row r="21">
      <c r="A21" s="2" t="inlineStr">
        <is>
          <t>Sources: Gibraltar Registry fee table Aug 2026; Alameda Gardens price list; Rebecca's emails 18 and 24 Sep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2026-09-24T17:03:35Z</dcterms:created>
  <dcterms:modified xsi:type="dcterms:W3CDTF">2026-09-24T17:03:35Z</dcterms:modified>
</cp:coreProperties>
</file>