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r &amp; Terms" sheetId="1" state="visible" r:id="rId1"/>
    <sheet name="Official Fees" sheetId="2" state="visible" r:id="rId2"/>
    <sheet name="Documents" sheetId="3" state="visible" r:id="rId3"/>
    <sheet name="Open Questions" sheetId="4" state="visible" r:id="rId4"/>
    <sheet name="Next Steps" sheetId="5" state="visible" r:id="rId5"/>
  </sheets>
  <definedNames/>
  <calcPr calcId="124519" fullCalcOnLoad="1"/>
</workbook>
</file>

<file path=xl/styles.xml><?xml version="1.0" encoding="utf-8"?>
<styleSheet xmlns="http://schemas.openxmlformats.org/spreadsheetml/2006/main">
  <numFmts count="3">
    <numFmt numFmtId="164" formatCode="&quot;£&quot;#,##0.00"/>
    <numFmt numFmtId="165" formatCode="&quot;€&quot;#,##0"/>
    <numFmt numFmtId="166" formatCode="&quot;£&quot;#,##0"/>
  </numFmts>
  <fonts count="7">
    <font>
      <name val="Calibri"/>
      <family val="2"/>
      <color theme="1"/>
      <sz val="11"/>
      <scheme val="minor"/>
    </font>
    <font>
      <name val="Arial"/>
      <b val="1"/>
      <sz val="13"/>
    </font>
    <font>
      <name val="Arial"/>
      <i val="1"/>
      <color rgb="00595959"/>
      <sz val="9"/>
    </font>
    <font>
      <name val="Arial"/>
      <b val="1"/>
      <color rgb="00FFFFFF"/>
      <sz val="10"/>
    </font>
    <font>
      <name val="Arial"/>
      <sz val="10"/>
    </font>
    <font>
      <name val="Arial"/>
      <b val="1"/>
      <sz val="10"/>
    </font>
    <font>
      <name val="Arial"/>
      <color rgb="000000FF"/>
      <sz val="10"/>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3" fillId="2" borderId="1" pivotButton="0" quotePrefix="0" xfId="0"/>
    <xf numFmtId="0" fontId="4" fillId="0" borderId="1" pivotButton="0" quotePrefix="0" xfId="0"/>
    <xf numFmtId="3" fontId="6" fillId="0" borderId="1" pivotButton="0" quotePrefix="0" xfId="0"/>
    <xf numFmtId="3" fontId="4" fillId="0" borderId="1" pivotButton="0" quotePrefix="0" xfId="0"/>
    <xf numFmtId="3" fontId="6" fillId="3" borderId="1" pivotButton="0" quotePrefix="0" xfId="0"/>
    <xf numFmtId="164" fontId="6" fillId="0" borderId="1" pivotButton="0" quotePrefix="0" xfId="0"/>
    <xf numFmtId="164" fontId="6" fillId="3" borderId="1" pivotButton="0" quotePrefix="0" xfId="0"/>
    <xf numFmtId="164" fontId="4" fillId="0" borderId="1" pivotButton="0" quotePrefix="0" xfId="0"/>
    <xf numFmtId="0" fontId="4" fillId="0" borderId="0" pivotButton="0" quotePrefix="0" xfId="0"/>
    <xf numFmtId="165" fontId="6" fillId="0" borderId="0" pivotButton="0" quotePrefix="0" xfId="0"/>
    <xf numFmtId="166" fontId="6" fillId="3" borderId="0" pivotButton="0" quotePrefix="0" xfId="0"/>
    <xf numFmtId="164"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30" customWidth="1" min="1" max="1"/>
    <col width="70" customWidth="1" min="2" max="2"/>
    <col width="55" customWidth="1" min="3" max="3"/>
  </cols>
  <sheetData>
    <row r="1">
      <c r="A1" s="1" t="inlineStr">
        <is>
          <t>Gibraltar wedding 2026 - Marry Abroad Simply offer</t>
        </is>
      </c>
    </row>
    <row r="2">
      <c r="A2" s="2" t="inlineStr">
        <is>
          <t>Status as of 24 Sep 2026. Source: Rebecca (Marry Abroad Simply) email of 18 Sep 2026, 16:07. Blue cells are inputs; yellow cells are still to be confirmed.</t>
        </is>
      </c>
    </row>
    <row r="3" ht="95" customHeight="1">
      <c r="A3" s="18" t="inlineStr">
        <is>
          <t>STATUS 30 Sep 2026: GIBRALTAR CLOSED. Lisa's only Schengen visa (Portugal, type C, single entry, 5 days, valid 18 Sep to 7 Oct 2026) was used for the Faro trip of 25 to 29 Sep 2026, so she cannot re-enter the Schengen area or Gibraltar before it expires. A new Schengen visa cannot be issued from London because her UK permit ends 20 Dec 2026. Marry Abroad Simply's 7 Oct slot was also gone by 30 Sep. Remaining options: Camden Town Hall (notice given 23 Sep, earliest ceremony 22 Oct) or Georgia (visa-free for Chinese and British citizens).</t>
        </is>
      </c>
    </row>
    <row r="4">
      <c r="A4" s="3" t="inlineStr">
        <is>
          <t>Item</t>
        </is>
      </c>
      <c r="B4" s="3" t="inlineStr">
        <is>
          <t>Detail</t>
        </is>
      </c>
      <c r="C4" s="3" t="inlineStr">
        <is>
          <t>Notes</t>
        </is>
      </c>
    </row>
    <row r="5">
      <c r="A5" s="4" t="inlineStr">
        <is>
          <t>Couple</t>
        </is>
      </c>
      <c r="B5" s="4" t="inlineStr">
        <is>
          <t>Lisa (Chinese citizen, UK resident) and Andreas</t>
        </is>
      </c>
      <c r="C5" s="4" t="inlineStr">
        <is>
          <t>Travelling from London</t>
        </is>
      </c>
    </row>
    <row r="6">
      <c r="A6" s="4" t="inlineStr">
        <is>
          <t>Wanted wedding window</t>
        </is>
      </c>
      <c r="B6" s="4" t="inlineStr">
        <is>
          <t>26 Sep - 7 Oct 2026</t>
        </is>
      </c>
      <c r="C6" s="4" t="inlineStr">
        <is>
          <t>Rebecca: dates available before 7 Oct; exact dates not yet confirmed</t>
        </is>
      </c>
    </row>
    <row r="7">
      <c r="A7" s="4" t="inlineStr">
        <is>
          <t>Agency</t>
        </is>
      </c>
      <c r="B7" s="4" t="inlineStr">
        <is>
          <t>Marry Abroad Simply</t>
        </is>
      </c>
      <c r="C7" s="4" t="inlineStr">
        <is>
          <t>Trustpilot about 5 stars from about 680 reviews</t>
        </is>
      </c>
    </row>
    <row r="8">
      <c r="A8" s="4" t="inlineStr">
        <is>
          <t>Contact person</t>
        </is>
      </c>
      <c r="B8" s="4" t="inlineStr">
        <is>
          <t>Rebecca</t>
        </is>
      </c>
      <c r="C8" s="4" t="inlineStr"/>
    </row>
    <row r="9">
      <c r="A9" s="4" t="inlineStr">
        <is>
          <t>Email</t>
        </is>
      </c>
      <c r="B9" s="4" t="inlineStr">
        <is>
          <t>interest@marryabroadsimply.com</t>
        </is>
      </c>
      <c r="C9" s="4" t="inlineStr"/>
    </row>
    <row r="10">
      <c r="A10" s="4" t="inlineStr">
        <is>
          <t>Phone / WhatsApp</t>
        </is>
      </c>
      <c r="B10" s="4" t="inlineStr">
        <is>
          <t>+45 71 49 34 83</t>
        </is>
      </c>
      <c r="C10" s="4" t="inlineStr">
        <is>
          <t>Mon-Fri 10:00-17:00 (Danish time)</t>
        </is>
      </c>
    </row>
    <row r="11">
      <c r="A11" s="4" t="inlineStr">
        <is>
          <t>Venue options</t>
        </is>
      </c>
      <c r="B11" s="4" t="inlineStr">
        <is>
          <t>1) Gibraltar Botanical Gardens  2) Harbour restaurant with a 3-course meal</t>
        </is>
      </c>
      <c r="C11" s="4" t="inlineStr">
        <is>
          <t>Choice still open</t>
        </is>
      </c>
    </row>
    <row r="12">
      <c r="A12" s="4" t="inlineStr">
        <is>
          <t>Ceremony paperwork on the day</t>
        </is>
      </c>
      <c r="B12" s="4" t="inlineStr">
        <is>
          <t>A letter is issued on the wedding day</t>
        </is>
      </c>
      <c r="C12" s="4" t="inlineStr"/>
    </row>
    <row r="13">
      <c r="A13" s="4" t="inlineStr">
        <is>
          <t>Marriage certificates</t>
        </is>
      </c>
      <c r="B13" s="4" t="inlineStr">
        <is>
          <t>Originals posted to the UK about 3 weeks after the wedding</t>
        </is>
      </c>
      <c r="C13" s="4" t="inlineStr"/>
    </row>
    <row r="14">
      <c r="A14" s="4" t="inlineStr">
        <is>
          <t>Translations</t>
        </is>
      </c>
      <c r="B14" s="4" t="inlineStr">
        <is>
          <t>Simple certified translation from any online translator; no notarisation needed</t>
        </is>
      </c>
      <c r="C14" s="4" t="inlineStr">
        <is>
          <t>Applies to non-English documents (e.g. Chinese birth certificate)</t>
        </is>
      </c>
    </row>
    <row r="15">
      <c r="A15" s="4" t="inlineStr">
        <is>
          <t>Why Gibraltar instead of Denmark</t>
        </is>
      </c>
      <c r="B15" s="4" t="inlineStr">
        <is>
          <t>Rebecca rated the Denmark case very high risk for a Familieretshuset interview (relationship length) and advised against it on 18 Sep</t>
        </is>
      </c>
      <c r="C15" s="4" t="inlineStr">
        <is>
          <t>Denmark option tracked in the separate Denmark conversation</t>
        </is>
      </c>
    </row>
    <row r="18">
      <c r="A18" s="5" t="inlineStr">
        <is>
          <t>Costs (EUR)</t>
        </is>
      </c>
    </row>
    <row r="19">
      <c r="A19" s="6" t="inlineStr">
        <is>
          <t>Item</t>
        </is>
      </c>
      <c r="B19" s="6" t="inlineStr">
        <is>
          <t>EUR</t>
        </is>
      </c>
      <c r="C19" s="6" t="inlineStr">
        <is>
          <t>Notes</t>
        </is>
      </c>
    </row>
    <row r="20">
      <c r="A20" s="7" t="inlineStr">
        <is>
          <t>Service fee (Gibraltar offer)</t>
        </is>
      </c>
      <c r="B20" s="8" t="n">
        <v>1495</v>
      </c>
      <c r="C20" s="4" t="inlineStr">
        <is>
          <t>Per Rebecca's email 18 Sep 2026. Covers agency fee and taxes.</t>
        </is>
      </c>
    </row>
    <row r="21">
      <c r="A21" s="7" t="inlineStr">
        <is>
          <t>Deposit</t>
        </is>
      </c>
      <c r="B21" s="8" t="n">
        <v>375</v>
      </c>
      <c r="C21" s="4" t="inlineStr">
        <is>
          <t>Refundable only if a problem arises that was not flagged. Denmark risk was flagged, so it would not be refunded.</t>
        </is>
      </c>
    </row>
    <row r="22">
      <c r="A22" s="7" t="inlineStr">
        <is>
          <t>Balance due on approval</t>
        </is>
      </c>
      <c r="B22" s="9">
        <f>B20-B21</f>
        <v/>
      </c>
      <c r="C22" s="4" t="inlineStr">
        <is>
          <t>Formula: fee minus deposit. Payable only once the application is approved.</t>
        </is>
      </c>
    </row>
    <row r="23">
      <c r="A23" s="7" t="inlineStr">
        <is>
          <t>Venue / meal cost</t>
        </is>
      </c>
      <c r="B23" s="10" t="n"/>
      <c r="C23" s="4" t="inlineStr">
        <is>
          <t>See 'Official Fees' sheet for Registry and Botanic Gardens fees. Harbour restaurant meal cost still not stated.</t>
        </is>
      </c>
    </row>
    <row r="24">
      <c r="A24" s="7" t="inlineStr">
        <is>
          <t>Travel and accommodation (London to Gibraltar)</t>
        </is>
      </c>
      <c r="B24" s="10" t="n"/>
      <c r="C24" s="4" t="inlineStr">
        <is>
          <t>Not yet estimated.</t>
        </is>
      </c>
    </row>
    <row r="25">
      <c r="A25" s="2" t="inlineStr">
        <is>
          <t>Legend: blue = figure given by the agency or entered by Lisa; yellow = still to be confirmed; black = formula.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3"/>
  <sheetViews>
    <sheetView workbookViewId="0">
      <pane ySplit="4" topLeftCell="A5" activePane="bottomLeft" state="frozen"/>
      <selection pane="bottomLeft" activeCell="A1" sqref="A1"/>
    </sheetView>
  </sheetViews>
  <sheetFormatPr baseColWidth="8" defaultRowHeight="15"/>
  <cols>
    <col width="52" customWidth="1" min="1" max="1"/>
    <col width="14" customWidth="1" min="2" max="2"/>
    <col width="80" customWidth="1" min="3" max="3"/>
  </cols>
  <sheetData>
    <row r="1">
      <c r="A1" s="1" t="inlineStr">
        <is>
          <t>Gibraltar Registry fees (official) and do-it-yourself totals</t>
        </is>
      </c>
    </row>
    <row r="2">
      <c r="A2" s="2" t="inlineStr">
        <is>
          <t>Source: Civil Status &amp; Registration Office, Ceremony Guidance Notes fee table (screenshot supplied by Lisa, 24 Sep 2026). Blue = official figure; black = formula; yellow = to confirm.</t>
        </is>
      </c>
    </row>
    <row r="4">
      <c r="A4" s="6" t="inlineStr">
        <is>
          <t>Fee item</t>
        </is>
      </c>
      <c r="B4" s="6" t="inlineStr">
        <is>
          <t>GBP</t>
        </is>
      </c>
      <c r="C4" s="6" t="inlineStr">
        <is>
          <t>Notes</t>
        </is>
      </c>
    </row>
    <row r="5">
      <c r="A5" s="7" t="inlineStr">
        <is>
          <t>Registrar's Certificate (residents only)</t>
        </is>
      </c>
      <c r="B5" s="11" t="n">
        <v>62.5</v>
      </c>
      <c r="C5" s="4" t="inlineStr">
        <is>
          <t>Not applicable to non-residents</t>
        </is>
      </c>
    </row>
    <row r="6">
      <c r="A6" s="7" t="inlineStr">
        <is>
          <t>Notice (residents only)</t>
        </is>
      </c>
      <c r="B6" s="11" t="n">
        <v>62.5</v>
      </c>
      <c r="C6" s="4" t="inlineStr">
        <is>
          <t>Not applicable to non-residents</t>
        </is>
      </c>
    </row>
    <row r="7">
      <c r="A7" s="7" t="inlineStr">
        <is>
          <t>Special Licence for Marriage</t>
        </is>
      </c>
      <c r="B7" s="11" t="n">
        <v>124</v>
      </c>
      <c r="C7" s="4" t="inlineStr">
        <is>
          <t>Required for non-residents</t>
        </is>
      </c>
    </row>
    <row r="8">
      <c r="A8" s="7" t="inlineStr">
        <is>
          <t>Ceremony at the Registry Office</t>
        </is>
      </c>
      <c r="B8" s="11" t="n">
        <v>186.5</v>
      </c>
      <c r="C8" s="4" t="inlineStr">
        <is>
          <t>Weekdays only</t>
        </is>
      </c>
    </row>
    <row r="9">
      <c r="A9" s="7" t="inlineStr">
        <is>
          <t>Ceremony at an Outside Location</t>
        </is>
      </c>
      <c r="B9" s="11" t="n">
        <v>309.5</v>
      </c>
      <c r="C9" s="4" t="inlineStr">
        <is>
          <t>After working hours on weekdays, and Saturdays</t>
        </is>
      </c>
    </row>
    <row r="10">
      <c r="A10" s="7" t="inlineStr">
        <is>
          <t>Mayor's Parlour venue fee</t>
        </is>
      </c>
      <c r="B10" s="11" t="n">
        <v>372</v>
      </c>
      <c r="C10" s="4" t="inlineStr">
        <is>
          <t>Separate fee charged by Cultural Services, in addition to the ceremony fee</t>
        </is>
      </c>
    </row>
    <row r="11">
      <c r="A11" s="7" t="inlineStr">
        <is>
          <t>Marriage Certificate (each)</t>
        </is>
      </c>
      <c r="B11" s="11" t="n">
        <v>37</v>
      </c>
      <c r="C11" s="4" t="inlineStr">
        <is>
          <t>Issued 10 to 15 working days after the ceremony</t>
        </is>
      </c>
    </row>
    <row r="12">
      <c r="A12" s="7" t="inlineStr">
        <is>
          <t>Confirmation Letter</t>
        </is>
      </c>
      <c r="B12" s="11" t="n">
        <v>19</v>
      </c>
      <c r="C12" s="4" t="inlineStr">
        <is>
          <t>Provided immediately after the ceremony on the day</t>
        </is>
      </c>
    </row>
    <row r="13">
      <c r="A13" s="7" t="inlineStr">
        <is>
          <t>Postage of certificates outside Gibraltar</t>
        </is>
      </c>
      <c r="B13" s="11" t="n">
        <v>19</v>
      </c>
      <c r="C13" s="4" t="inlineStr"/>
    </row>
    <row r="14">
      <c r="A14" s="7" t="inlineStr">
        <is>
          <t>Apostille (each)</t>
        </is>
      </c>
      <c r="B14" s="11" t="n">
        <v>37</v>
      </c>
      <c r="C14" s="4" t="inlineStr">
        <is>
          <t>Placed on the reverse of the certificate; needed for recognition in China, check for UK</t>
        </is>
      </c>
    </row>
    <row r="15">
      <c r="A15" s="7" t="inlineStr">
        <is>
          <t>Change of Date fee</t>
        </is>
      </c>
      <c r="B15" s="11" t="n">
        <v>53</v>
      </c>
      <c r="C15" s="4" t="inlineStr">
        <is>
          <t>Only if the date is moved</t>
        </is>
      </c>
    </row>
    <row r="16">
      <c r="A16" s="7" t="inlineStr">
        <is>
          <t>Botanic Gardens 'The Dell' hire, weekday</t>
        </is>
      </c>
      <c r="B16" s="12" t="n">
        <v>275</v>
      </c>
      <c r="C16" s="4" t="inlineStr">
        <is>
          <t>Alameda Gardens price list; season 1 Apr to 30 Oct; confirm 2026 price with events@gibraltargardens.gi</t>
        </is>
      </c>
    </row>
    <row r="17">
      <c r="A17" s="7" t="inlineStr">
        <is>
          <t>Botanic Gardens 'The Dell' hire, Saturday</t>
        </is>
      </c>
      <c r="B17" s="12" t="n">
        <v>300</v>
      </c>
      <c r="C17" s="4" t="inlineStr">
        <is>
          <t>As above</t>
        </is>
      </c>
    </row>
    <row r="19">
      <c r="A19" s="5" t="inlineStr">
        <is>
          <t>Do-it-yourself totals (what Marry Abroad Simply's fee replaces)</t>
        </is>
      </c>
    </row>
    <row r="20">
      <c r="A20" s="6" t="inlineStr">
        <is>
          <t>Route</t>
        </is>
      </c>
      <c r="B20" s="6" t="inlineStr">
        <is>
          <t>GBP</t>
        </is>
      </c>
      <c r="C20" s="6" t="inlineStr">
        <is>
          <t>What is included</t>
        </is>
      </c>
    </row>
    <row r="21">
      <c r="A21" s="7" t="inlineStr">
        <is>
          <t>Registry Office, bare minimum</t>
        </is>
      </c>
      <c r="B21" s="13">
        <f>B7+B8+B11</f>
        <v/>
      </c>
      <c r="C21" s="4" t="inlineStr">
        <is>
          <t>Special Licence, ceremony at Registry, one certificate</t>
        </is>
      </c>
    </row>
    <row r="22">
      <c r="A22" s="7" t="inlineStr">
        <is>
          <t>Registry Office, with letter, postage and apostille</t>
        </is>
      </c>
      <c r="B22" s="13">
        <f>B7+B8+B11+B12+B13+B14</f>
        <v/>
      </c>
      <c r="C22" s="4" t="inlineStr">
        <is>
          <t>As above plus confirmation letter on the day, postage to UK, one apostille</t>
        </is>
      </c>
    </row>
    <row r="23">
      <c r="A23" s="7" t="inlineStr">
        <is>
          <t>Botanic Gardens, weekday evening</t>
        </is>
      </c>
      <c r="B23" s="13">
        <f>B7+B9+B16+B11+B12+B13+B14</f>
        <v/>
      </c>
      <c r="C23" s="4" t="inlineStr">
        <is>
          <t>Special Licence, outside-location ceremony, Dell hire, certificate, letter, postage, apostille</t>
        </is>
      </c>
    </row>
    <row r="24">
      <c r="A24" s="7" t="inlineStr">
        <is>
          <t>Botanic Gardens, Saturday</t>
        </is>
      </c>
      <c r="B24" s="13">
        <f>B7+B9+B17+B11+B12+B13+B14</f>
        <v/>
      </c>
      <c r="C24" s="4" t="inlineStr">
        <is>
          <t>As above with Saturday Dell hire</t>
        </is>
      </c>
    </row>
    <row r="25">
      <c r="A25" s="7" t="inlineStr">
        <is>
          <t>Harbour restaurant (venue and meal not known)</t>
        </is>
      </c>
      <c r="B25" s="13">
        <f>B7+B9+B11+B12+B13+B14</f>
        <v/>
      </c>
      <c r="C25" s="4" t="inlineStr">
        <is>
          <t>Government fees only; add the restaurant's own charge</t>
        </is>
      </c>
    </row>
    <row r="27">
      <c r="A27" s="5" t="inlineStr">
        <is>
          <t>Comparison with Marry Abroad Simply</t>
        </is>
      </c>
    </row>
    <row r="28">
      <c r="A28" s="14" t="inlineStr">
        <is>
          <t>Agency fee EUR</t>
        </is>
      </c>
      <c r="B28" s="15" t="n">
        <v>1495</v>
      </c>
    </row>
    <row r="29">
      <c r="A29" s="14" t="inlineStr">
        <is>
          <t>Agency fee GBP (agency's own quoted equivalent)</t>
        </is>
      </c>
      <c r="B29" s="16" t="n">
        <v>1250</v>
      </c>
      <c r="C29" s="14" t="inlineStr">
        <is>
          <t>Marry Abroad Simply advertises Gibraltar at EUR 1,495 / GBP 1,250. Confirm the exact GBP charge.</t>
        </is>
      </c>
    </row>
    <row r="30">
      <c r="A30" s="14" t="inlineStr">
        <is>
          <t>Agency premium over Botanic Gardens weekday DIY</t>
        </is>
      </c>
      <c r="B30" s="17">
        <f>B29-B23</f>
        <v/>
      </c>
      <c r="C30" s="14" t="inlineStr">
        <is>
          <t>What you pay the agency for document checking, booking and being your contact. Venue is included in their fee; the meal at the harbour restaurant may not be.</t>
        </is>
      </c>
    </row>
    <row r="31">
      <c r="A31" s="14" t="inlineStr">
        <is>
          <t>Agency premium over Registry Office DIY (with extras)</t>
        </is>
      </c>
      <c r="B31" s="17">
        <f>B29-B22</f>
        <v/>
      </c>
    </row>
    <row r="33">
      <c r="A33" s="2" t="inlineStr">
        <is>
          <t>Not included in any total: flights London to Gibraltar, at least one hotel night (required), certified translations, Chinese single-status notarisation, Schengen visa fee (about EUR 90) and any meal.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10" customWidth="1" min="1" max="1"/>
    <col width="60" customWidth="1" min="2" max="2"/>
    <col width="40" customWidth="1" min="3" max="3"/>
    <col width="14" customWidth="1" min="4" max="4"/>
    <col width="12" customWidth="1" min="5" max="5"/>
    <col width="55" customWidth="1" min="6" max="6"/>
  </cols>
  <sheetData>
    <row r="1">
      <c r="A1" s="1" t="inlineStr">
        <is>
          <t>Document requirements checklist</t>
        </is>
      </c>
    </row>
    <row r="2">
      <c r="A2" s="2" t="inlineStr">
        <is>
          <t>Based on Rebecca's email of 18 Sep 2026. Update the Status column (To do / In progress / Done) as items are gathered.</t>
        </is>
      </c>
    </row>
    <row r="4">
      <c r="A4" s="3" t="inlineStr">
        <is>
          <t>Who</t>
        </is>
      </c>
      <c r="B4" s="3" t="inlineStr">
        <is>
          <t>Document</t>
        </is>
      </c>
      <c r="C4" s="3" t="inlineStr">
        <is>
          <t>Format required</t>
        </is>
      </c>
      <c r="D4" s="3" t="inlineStr">
        <is>
          <t>Status</t>
        </is>
      </c>
      <c r="E4" s="3" t="inlineStr">
        <is>
          <t>Date done</t>
        </is>
      </c>
      <c r="F4" s="3" t="inlineStr">
        <is>
          <t>Notes</t>
        </is>
      </c>
    </row>
    <row r="5">
      <c r="A5" s="4" t="inlineStr">
        <is>
          <t>Lisa</t>
        </is>
      </c>
      <c r="B5" s="4" t="inlineStr">
        <is>
          <t>Passport (valid)</t>
        </is>
      </c>
      <c r="C5" s="4" t="inlineStr">
        <is>
          <t>Original</t>
        </is>
      </c>
      <c r="D5" s="4" t="inlineStr">
        <is>
          <t>To do</t>
        </is>
      </c>
      <c r="E5" s="4" t="inlineStr"/>
      <c r="F5" s="4" t="inlineStr">
        <is>
          <t>Standard requirement; confirm validity period needed with Rebecca.</t>
        </is>
      </c>
    </row>
    <row r="6">
      <c r="A6" s="4" t="inlineStr">
        <is>
          <t>Lisa</t>
        </is>
      </c>
      <c r="B6" s="4" t="inlineStr">
        <is>
          <t>Long-form birth certificate, originally issued (parents' names, place, date and time of birth)</t>
        </is>
      </c>
      <c r="C6" s="4" t="inlineStr">
        <is>
          <t>Original, physically present in Gibraltar</t>
        </is>
      </c>
      <c r="D6" s="4" t="inlineStr">
        <is>
          <t>To do</t>
        </is>
      </c>
      <c r="E6" s="4" t="inlineStr"/>
      <c r="F6" s="4" t="inlineStr">
        <is>
          <t>Must be the originally issued document, not a copy.</t>
        </is>
      </c>
    </row>
    <row r="7">
      <c r="A7" s="4" t="inlineStr">
        <is>
          <t>Lisa</t>
        </is>
      </c>
      <c r="B7" s="4" t="inlineStr">
        <is>
          <t>Certified translation of birth certificate (Chinese to English)</t>
        </is>
      </c>
      <c r="C7" s="4" t="inlineStr">
        <is>
          <t>Simple certified translation from any online translator; no notarisation</t>
        </is>
      </c>
      <c r="D7" s="4" t="inlineStr">
        <is>
          <t>To do</t>
        </is>
      </c>
      <c r="E7" s="4" t="inlineStr"/>
      <c r="F7" s="4" t="inlineStr">
        <is>
          <t>Only needed if the certificate is not in English.</t>
        </is>
      </c>
    </row>
    <row r="8">
      <c r="A8" s="4" t="inlineStr">
        <is>
          <t>Lisa</t>
        </is>
      </c>
      <c r="B8" s="4" t="inlineStr">
        <is>
          <t>Proof of UK residence (BRP / eVisa share code / residence permit)</t>
        </is>
      </c>
      <c r="C8" s="4" t="inlineStr">
        <is>
          <t>Original or printout</t>
        </is>
      </c>
      <c r="D8" s="4" t="inlineStr">
        <is>
          <t>To do</t>
        </is>
      </c>
      <c r="E8" s="4" t="inlineStr"/>
      <c r="F8" s="4" t="inlineStr">
        <is>
          <t>Also relevant to the visa question - see Open Questions.</t>
        </is>
      </c>
    </row>
    <row r="9">
      <c r="A9" s="4" t="inlineStr">
        <is>
          <t>Lisa</t>
        </is>
      </c>
      <c r="B9" s="4" t="inlineStr">
        <is>
          <t>Gibraltar visa or visa waiver (if required)</t>
        </is>
      </c>
      <c r="C9" s="4" t="inlineStr">
        <is>
          <t>TBC</t>
        </is>
      </c>
      <c r="D9" s="4" t="inlineStr">
        <is>
          <t>To do</t>
        </is>
      </c>
      <c r="E9" s="4" t="inlineStr"/>
      <c r="F9" s="4" t="inlineStr">
        <is>
          <t>OPEN: not yet established whether a Chinese citizen with UK residence needs a visa for Gibraltar.</t>
        </is>
      </c>
    </row>
    <row r="10">
      <c r="A10" s="4" t="inlineStr">
        <is>
          <t>Lisa</t>
        </is>
      </c>
      <c r="B10" s="4" t="inlineStr">
        <is>
          <t>Proof of marital status (single / divorce decree / death certificate if applicable)</t>
        </is>
      </c>
      <c r="C10" s="4" t="inlineStr">
        <is>
          <t>TBC</t>
        </is>
      </c>
      <c r="D10" s="4" t="inlineStr">
        <is>
          <t>To do</t>
        </is>
      </c>
      <c r="E10" s="4" t="inlineStr"/>
      <c r="F10" s="4" t="inlineStr">
        <is>
          <t>Ask Rebecca whether anything is needed beyond a declaration.</t>
        </is>
      </c>
    </row>
    <row r="11">
      <c r="A11" s="4" t="inlineStr">
        <is>
          <t>Andreas</t>
        </is>
      </c>
      <c r="B11" s="4" t="inlineStr">
        <is>
          <t>Passport (valid)</t>
        </is>
      </c>
      <c r="C11" s="4" t="inlineStr">
        <is>
          <t>Original</t>
        </is>
      </c>
      <c r="D11" s="4" t="inlineStr">
        <is>
          <t>To do</t>
        </is>
      </c>
      <c r="E11" s="4" t="inlineStr"/>
      <c r="F11" s="4" t="inlineStr"/>
    </row>
    <row r="12">
      <c r="A12" s="4" t="inlineStr">
        <is>
          <t>Andreas</t>
        </is>
      </c>
      <c r="B12" s="4" t="inlineStr">
        <is>
          <t>Long-form birth certificate, originally issued (parents' names, place, date and time of birth)</t>
        </is>
      </c>
      <c r="C12" s="4" t="inlineStr">
        <is>
          <t>Original, physically present in Gibraltar</t>
        </is>
      </c>
      <c r="D12" s="4" t="inlineStr">
        <is>
          <t>To do</t>
        </is>
      </c>
      <c r="E12" s="4" t="inlineStr"/>
      <c r="F12" s="4" t="inlineStr">
        <is>
          <t>Must be the originally issued document, not a copy.</t>
        </is>
      </c>
    </row>
    <row r="13">
      <c r="A13" s="4" t="inlineStr">
        <is>
          <t>Andreas</t>
        </is>
      </c>
      <c r="B13" s="4" t="inlineStr">
        <is>
          <t>Certified translation of birth certificate (if not in English)</t>
        </is>
      </c>
      <c r="C13" s="4" t="inlineStr">
        <is>
          <t>Simple certified translation; no notarisation</t>
        </is>
      </c>
      <c r="D13" s="4" t="inlineStr">
        <is>
          <t>To do</t>
        </is>
      </c>
      <c r="E13" s="4" t="inlineStr"/>
      <c r="F13" s="4" t="inlineStr"/>
    </row>
    <row r="14">
      <c r="A14" s="4" t="inlineStr">
        <is>
          <t>Andreas</t>
        </is>
      </c>
      <c r="B14" s="4" t="inlineStr">
        <is>
          <t>Proof of marital status (if applicable)</t>
        </is>
      </c>
      <c r="C14" s="4" t="inlineStr">
        <is>
          <t>TBC</t>
        </is>
      </c>
      <c r="D14" s="4" t="inlineStr">
        <is>
          <t>To do</t>
        </is>
      </c>
      <c r="E14" s="4" t="inlineStr"/>
      <c r="F14" s="4" t="inlineStr"/>
    </row>
    <row r="15">
      <c r="A15" s="4" t="inlineStr">
        <is>
          <t>Both</t>
        </is>
      </c>
      <c r="B15" s="4" t="inlineStr">
        <is>
          <t>Completed Marry Abroad Simply application / intake forms</t>
        </is>
      </c>
      <c r="C15" s="4" t="inlineStr">
        <is>
          <t>Digital</t>
        </is>
      </c>
      <c r="D15" s="4" t="inlineStr">
        <is>
          <t>To do</t>
        </is>
      </c>
      <c r="E15" s="4" t="inlineStr"/>
      <c r="F15" s="4" t="inlineStr">
        <is>
          <t>Submission work is free; deposit covers fee and taxes.</t>
        </is>
      </c>
    </row>
    <row r="16">
      <c r="A16" s="4" t="inlineStr">
        <is>
          <t>Both</t>
        </is>
      </c>
      <c r="B16" s="4" t="inlineStr">
        <is>
          <t>Deposit payment EUR 375</t>
        </is>
      </c>
      <c r="C16" s="4" t="inlineStr">
        <is>
          <t>Payment</t>
        </is>
      </c>
      <c r="D16" s="4" t="inlineStr">
        <is>
          <t>To do</t>
        </is>
      </c>
      <c r="E16" s="4" t="inlineStr"/>
      <c r="F16" s="4" t="inlineStr">
        <is>
          <t>Timing to confirm - see Open Questions.</t>
        </is>
      </c>
    </row>
    <row r="17">
      <c r="A17" s="4" t="inlineStr">
        <is>
          <t>Both</t>
        </is>
      </c>
      <c r="B17" s="4" t="inlineStr">
        <is>
          <t>Travel booking London - Gibraltar and accommodation</t>
        </is>
      </c>
      <c r="C17" s="4" t="inlineStr">
        <is>
          <t>Booking</t>
        </is>
      </c>
      <c r="D17" s="4" t="inlineStr">
        <is>
          <t>To do</t>
        </is>
      </c>
      <c r="E17" s="4" t="inlineStr"/>
      <c r="F17" s="4" t="inlineStr">
        <is>
          <t>Book once dates are confirmed.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9" customWidth="1" min="1" max="1"/>
    <col width="65" customWidth="1" min="2" max="2"/>
    <col width="30" customWidth="1" min="3" max="3"/>
    <col width="50" customWidth="1" min="4" max="4"/>
    <col width="40" customWidth="1" min="5" max="5"/>
    <col width="14" customWidth="1" min="6" max="6"/>
    <col width="10" customWidth="1" min="7" max="7"/>
  </cols>
  <sheetData>
    <row r="1">
      <c r="A1" s="1" t="inlineStr">
        <is>
          <t>Open questions</t>
        </is>
      </c>
    </row>
    <row r="2">
      <c r="A2" s="2" t="inlineStr">
        <is>
          <t>Priority 1 = blocks everything else. Fill in Answer and Date answered as replies come in.</t>
        </is>
      </c>
    </row>
    <row r="4">
      <c r="A4" s="3" t="inlineStr">
        <is>
          <t>Priority</t>
        </is>
      </c>
      <c r="B4" s="3" t="inlineStr">
        <is>
          <t>Question</t>
        </is>
      </c>
      <c r="C4" s="3" t="inlineStr">
        <is>
          <t>Who can answer</t>
        </is>
      </c>
      <c r="D4" s="3" t="inlineStr">
        <is>
          <t>Notes</t>
        </is>
      </c>
      <c r="E4" s="3" t="inlineStr">
        <is>
          <t>Answer</t>
        </is>
      </c>
      <c r="F4" s="3" t="inlineStr">
        <is>
          <t>Date answered</t>
        </is>
      </c>
      <c r="G4" s="3" t="inlineStr">
        <is>
          <t>Status</t>
        </is>
      </c>
    </row>
    <row r="5">
      <c r="A5" s="4" t="n">
        <v>1</v>
      </c>
      <c r="B5" s="4" t="inlineStr">
        <is>
          <t>Does Lisa (Chinese citizen, UK resident) need a visa for Gibraltar? If so, which type, how long does it take, and what does Marry Abroad Simply advise?</t>
        </is>
      </c>
      <c r="C5" s="4" t="inlineStr">
        <is>
          <t>Rebecca; Gibraltar Borders &amp; Coastguard Agency / UK gov guidance</t>
        </is>
      </c>
      <c r="D5" s="4" t="inlineStr">
        <is>
          <t>This was dropped from the email sent on 18 Sep and never asked.</t>
        </is>
      </c>
      <c r="E5" s="4" t="inlineStr">
        <is>
          <t>Since 15 Jul 2026 Gibraltar follows Schengen short-stay visa rules. UK residence/visa exemption ended. Chinese citizens need a Schengen visa, applied for via Spain (BLS London) when Gibraltar is the main destination. BLS requires the UK residence permit to be valid 90 days beyond the return date. Lisa's UK visa ends Dec 2026, so an application from London for an October trip is likely to be refused. Also, Registry guidance requires UK residents to show a share code with at least 6 months validity. Confirmed 24 Sep: Lisa holds a Graduate (PSW) visa valid to 20 Dec 2026; Andreas is a British, German and Romanian citizen and needs no visa. Lisa holds no Schengen visa as far as known. Conclusion: no realistic route to enter and marry in Gibraltar before the end-October move.</t>
        </is>
      </c>
      <c r="F5" s="4" t="inlineStr">
        <is>
          <t>24 Sep 2026</t>
        </is>
      </c>
      <c r="G5" s="4" t="inlineStr">
        <is>
          <t>Closed - blocks option</t>
        </is>
      </c>
    </row>
    <row r="6">
      <c r="A6" s="4" t="n">
        <v>2</v>
      </c>
      <c r="B6" s="4" t="inlineStr">
        <is>
          <t>Which exact dates between 26 Sep and 7 Oct 2026 are still available for the ceremony?</t>
        </is>
      </c>
      <c r="C6" s="4" t="inlineStr">
        <is>
          <t>Rebecca</t>
        </is>
      </c>
      <c r="D6" s="4" t="inlineStr">
        <is>
          <t>Rebecca only said 'dates available before 7 Oct'. Today is 24 Sep, so the window is very tight.</t>
        </is>
      </c>
      <c r="E6" s="4" t="inlineStr"/>
      <c r="F6" s="4" t="inlineStr"/>
      <c r="G6" s="4" t="inlineStr">
        <is>
          <t>Open</t>
        </is>
      </c>
    </row>
    <row r="7">
      <c r="A7" s="4" t="n">
        <v>3</v>
      </c>
      <c r="B7" s="4" t="inlineStr">
        <is>
          <t>Venue: Botanical Gardens or harbour restaurant? Is the 3-course meal included in the EUR 1,495 fee? Guest numbers allowed?</t>
        </is>
      </c>
      <c r="C7" s="4" t="inlineStr">
        <is>
          <t>Rebecca; Lisa and Andreas to decide</t>
        </is>
      </c>
      <c r="D7" s="4" t="inlineStr"/>
      <c r="E7" s="4" t="inlineStr"/>
      <c r="F7" s="4" t="inlineStr"/>
      <c r="G7" s="4" t="inlineStr">
        <is>
          <t>Open</t>
        </is>
      </c>
    </row>
    <row r="8">
      <c r="A8" s="4" t="n">
        <v>4</v>
      </c>
      <c r="B8" s="4" t="inlineStr">
        <is>
          <t>Deposit and payment timing: when is the EUR 375 due, how is it paid, when is the balance due, and does the deposit apply if switching from the Denmark offer?</t>
        </is>
      </c>
      <c r="C8" s="4" t="inlineStr">
        <is>
          <t>Rebecca</t>
        </is>
      </c>
      <c r="D8" s="4" t="inlineStr">
        <is>
          <t>Deposit is non-refundable in this case because the Denmark risk was flagged. Confirm whether a deposit already paid for Denmark transfers.</t>
        </is>
      </c>
      <c r="E8" s="4" t="inlineStr">
        <is>
          <t>Official Registry fees now known, see 'Official Fees' sheet. Agency deposit/payment timing still to confirm.</t>
        </is>
      </c>
      <c r="F8" s="4" t="inlineStr"/>
      <c r="G8" s="4" t="inlineStr">
        <is>
          <t>Open</t>
        </is>
      </c>
    </row>
    <row r="9">
      <c r="A9" s="4" t="n">
        <v>5</v>
      </c>
      <c r="B9" s="4" t="inlineStr">
        <is>
          <t>How many days before the ceremony must the couple be in Gibraltar with the original documents?</t>
        </is>
      </c>
      <c r="C9" s="4" t="inlineStr">
        <is>
          <t>Rebecca</t>
        </is>
      </c>
      <c r="D9" s="4" t="inlineStr">
        <is>
          <t>Affects flights and leave from work.</t>
        </is>
      </c>
      <c r="E9" s="4" t="inlineStr"/>
      <c r="F9" s="4" t="inlineStr"/>
      <c r="G9" s="4" t="inlineStr">
        <is>
          <t>Open</t>
        </is>
      </c>
    </row>
    <row r="10">
      <c r="A10" s="4" t="n">
        <v>6</v>
      </c>
      <c r="B10" s="4" t="inlineStr">
        <is>
          <t>Is the Gibraltar marriage certificate recognised in the UK and China without further legalisation (apostille)?</t>
        </is>
      </c>
      <c r="C10" s="4" t="inlineStr">
        <is>
          <t>Rebecca; UK gov / Chinese embassy guidance</t>
        </is>
      </c>
      <c r="D10" s="4" t="inlineStr">
        <is>
          <t>Relevant for later UK immigration and Chinese household registration.</t>
        </is>
      </c>
      <c r="E10" s="4" t="inlineStr"/>
      <c r="F10" s="4" t="inlineStr"/>
      <c r="G10" s="4" t="inlineStr">
        <is>
          <t>Open</t>
        </is>
      </c>
    </row>
    <row r="11">
      <c r="A11" s="4" t="n">
        <v>7</v>
      </c>
      <c r="B11" s="4" t="inlineStr">
        <is>
          <t>Which translation providers does Marry Abroad Simply accept as 'certified', and does the translation need to be posted or is a printout enough?</t>
        </is>
      </c>
      <c r="C11" s="4" t="inlineStr">
        <is>
          <t>Rebecca</t>
        </is>
      </c>
      <c r="D11" s="4" t="inlineStr"/>
      <c r="E11" s="4" t="inlineStr"/>
      <c r="F11" s="4" t="inlineStr"/>
      <c r="G11" s="4"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5" customWidth="1" min="1" max="1"/>
    <col width="85" customWidth="1" min="2" max="2"/>
    <col width="20" customWidth="1" min="3" max="3"/>
    <col width="28" customWidth="1" min="4" max="4"/>
    <col width="10" customWidth="1" min="5" max="5"/>
  </cols>
  <sheetData>
    <row r="1">
      <c r="A1" s="1" t="inlineStr">
        <is>
          <t>Next steps</t>
        </is>
      </c>
    </row>
    <row r="2">
      <c r="A2" s="2" t="inlineStr">
        <is>
          <t>Suggested order. Tick Done as each is completed.</t>
        </is>
      </c>
    </row>
    <row r="3">
      <c r="A3" t="inlineStr">
        <is>
          <t>Superseded 24 Sep 2026: Gibraltar option parked. The couple is giving notice at Camden Town Hall instead; that is tracked separately.</t>
        </is>
      </c>
    </row>
    <row r="4">
      <c r="A4" s="3" t="inlineStr">
        <is>
          <t>#</t>
        </is>
      </c>
      <c r="B4" s="3" t="inlineStr">
        <is>
          <t>Action</t>
        </is>
      </c>
      <c r="C4" s="3" t="inlineStr">
        <is>
          <t>Owner</t>
        </is>
      </c>
      <c r="D4" s="3" t="inlineStr">
        <is>
          <t>When</t>
        </is>
      </c>
      <c r="E4" s="3" t="inlineStr">
        <is>
          <t>Done</t>
        </is>
      </c>
    </row>
    <row r="5">
      <c r="A5" s="4" t="n">
        <v>1</v>
      </c>
      <c r="B5" s="4" t="inlineStr">
        <is>
          <t>Establish the visa position for Lisa (Chinese citizen, UK resident) before paying anything.</t>
        </is>
      </c>
      <c r="C5" s="4" t="inlineStr">
        <is>
          <t>Lisa</t>
        </is>
      </c>
      <c r="D5" s="4" t="inlineStr">
        <is>
          <t>This week</t>
        </is>
      </c>
      <c r="E5" s="4" t="inlineStr">
        <is>
          <t>To do</t>
        </is>
      </c>
    </row>
    <row r="6">
      <c r="A6" s="4" t="n">
        <v>2</v>
      </c>
      <c r="B6" s="4" t="inlineStr">
        <is>
          <t>Email or WhatsApp Rebecca with the open questions: exact dates, venue and meal inclusion, deposit and payment timing, arrival lead time.</t>
        </is>
      </c>
      <c r="C6" s="4" t="inlineStr">
        <is>
          <t>Lisa</t>
        </is>
      </c>
      <c r="D6" s="4" t="inlineStr">
        <is>
          <t>This week</t>
        </is>
      </c>
      <c r="E6" s="4" t="inlineStr">
        <is>
          <t>To do</t>
        </is>
      </c>
    </row>
    <row r="7">
      <c r="A7" s="4" t="n">
        <v>3</v>
      </c>
      <c r="B7" s="4" t="inlineStr">
        <is>
          <t>Locate both originally issued long-form birth certificates and check they show parents' names, place, date and time of birth.</t>
        </is>
      </c>
      <c r="C7" s="4" t="inlineStr">
        <is>
          <t>Lisa and Andreas</t>
        </is>
      </c>
      <c r="D7" s="4" t="inlineStr">
        <is>
          <t>This week</t>
        </is>
      </c>
      <c r="E7" s="4" t="inlineStr">
        <is>
          <t>To do</t>
        </is>
      </c>
    </row>
    <row r="8">
      <c r="A8" s="4" t="n">
        <v>4</v>
      </c>
      <c r="B8" s="4" t="inlineStr">
        <is>
          <t>Order a certified online translation of any non-English birth certificate.</t>
        </is>
      </c>
      <c r="C8" s="4" t="inlineStr">
        <is>
          <t>Lisa / Andreas</t>
        </is>
      </c>
      <c r="D8" s="4" t="inlineStr">
        <is>
          <t>After step 3</t>
        </is>
      </c>
      <c r="E8" s="4" t="inlineStr">
        <is>
          <t>To do</t>
        </is>
      </c>
    </row>
    <row r="9">
      <c r="A9" s="4" t="n">
        <v>5</v>
      </c>
      <c r="B9" s="4" t="inlineStr">
        <is>
          <t>Decide venue (Botanical Gardens vs harbour restaurant) and guest list.</t>
        </is>
      </c>
      <c r="C9" s="4" t="inlineStr">
        <is>
          <t>Lisa and Andreas</t>
        </is>
      </c>
      <c r="D9" s="4" t="inlineStr">
        <is>
          <t>After Rebecca confirms dates</t>
        </is>
      </c>
      <c r="E9" s="4" t="inlineStr">
        <is>
          <t>To do</t>
        </is>
      </c>
    </row>
    <row r="10">
      <c r="A10" s="4" t="n">
        <v>6</v>
      </c>
      <c r="B10" s="4" t="inlineStr">
        <is>
          <t>Pay the EUR 375 deposit and submit the application once the visa question is settled and a date is chosen.</t>
        </is>
      </c>
      <c r="C10" s="4" t="inlineStr">
        <is>
          <t>Lisa</t>
        </is>
      </c>
      <c r="D10" s="4" t="inlineStr">
        <is>
          <t>After steps 1, 2 and 5</t>
        </is>
      </c>
      <c r="E10" s="4" t="inlineStr">
        <is>
          <t>To do</t>
        </is>
      </c>
    </row>
    <row r="11">
      <c r="A11" s="4" t="n">
        <v>7</v>
      </c>
      <c r="B11" s="4" t="inlineStr">
        <is>
          <t>Book flights London - Gibraltar and accommodation around the confirmed date.</t>
        </is>
      </c>
      <c r="C11" s="4" t="inlineStr">
        <is>
          <t>Lisa and Andreas</t>
        </is>
      </c>
      <c r="D11" s="4" t="inlineStr">
        <is>
          <t>After step 6</t>
        </is>
      </c>
      <c r="E11" s="4" t="inlineStr">
        <is>
          <t>To do</t>
        </is>
      </c>
    </row>
    <row r="12">
      <c r="A12" s="4" t="n">
        <v>8</v>
      </c>
      <c r="B12" s="4" t="inlineStr">
        <is>
          <t>On the day: collect the letter issued at the ceremony; expect original certificates by post to the UK about 3 weeks later.</t>
        </is>
      </c>
      <c r="C12" s="4" t="inlineStr">
        <is>
          <t>Both</t>
        </is>
      </c>
      <c r="D12" s="4" t="inlineStr">
        <is>
          <t>Wedding day</t>
        </is>
      </c>
      <c r="E12" s="4" t="inlineStr">
        <is>
          <t>To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2026-09-24T10:24:38Z</dcterms:created>
  <dcterms:modified xsi:type="dcterms:W3CDTF">2026-09-30T11:42:02Z</dcterms:modified>
</cp:coreProperties>
</file>